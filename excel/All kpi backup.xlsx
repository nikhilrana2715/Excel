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460"/>
  </bookViews>
  <sheets>
    <sheet name="Feb.26" sheetId="1" r:id="rId1"/>
  </sheets>
  <definedNames>
    <definedName name="_xlnm._FilterDatabase" localSheetId="0" hidden="1">Feb.26!$A$108:$S$117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<sst xmlns="http://schemas.openxmlformats.org/spreadsheetml/2006/main" count="549" uniqueCount="160">
  <si>
    <t>Plan V/s Ach.Data 2025-2026</t>
  </si>
  <si>
    <t>Month</t>
  </si>
  <si>
    <t>Plan Qty.</t>
  </si>
  <si>
    <t>Ach. Qty.</t>
  </si>
  <si>
    <t>Achi.%</t>
  </si>
  <si>
    <t>Target</t>
  </si>
  <si>
    <t>April.25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</si>
  <si>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</si>
  <si>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</si>
  <si>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</si>
  <si>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</si>
  <si>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</si>
  <si>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</si>
  <si>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</si>
  <si>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</si>
  <si>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Jan.26</t>
  </si>
  <si>
    <t>Feb.26</t>
  </si>
  <si>
    <t>Total</t>
  </si>
  <si>
    <t>Plan V/s Ach.Data 2024-2025</t>
  </si>
  <si>
    <t>Year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</si>
  <si>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</si>
  <si>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</si>
  <si>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</si>
  <si>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</si>
  <si>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</si>
  <si>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</si>
  <si>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</si>
  <si>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</si>
  <si>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</si>
  <si>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</si>
  <si>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</si>
  <si>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</si>
  <si>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Plan V/s Ach.Data 2023-2024</t>
  </si>
  <si>
    <t>Mar.23</t>
  </si>
  <si>
    <t>April.23</t>
  </si>
  <si>
    <t>May.23</t>
  </si>
  <si>
    <t>June.23</t>
  </si>
  <si>
    <t>July.23</t>
  </si>
  <si>
    <t>Aug.23</t>
  </si>
  <si>
    <t>Sep.23</t>
  </si>
  <si>
    <t>Oct.23</t>
  </si>
  <si>
    <t>Nov.23</t>
  </si>
  <si>
    <t>Dec..23</t>
  </si>
  <si>
    <t>Jan-24.</t>
  </si>
  <si>
    <t>Feb-24</t>
  </si>
  <si>
    <t>Mar-24</t>
  </si>
  <si>
    <t>Plan vs Achievement YOY</t>
  </si>
  <si>
    <t>Sum of 
Final Qty.</t>
  </si>
  <si>
    <t>Ach.%</t>
  </si>
  <si>
    <t>Year.</t>
  </si>
  <si>
    <t>Paninig Qty</t>
  </si>
  <si>
    <t>Achie.Qty</t>
  </si>
  <si>
    <t>2023-2024</t>
  </si>
  <si>
    <t>2024-2025</t>
  </si>
  <si>
    <t>2025-2026</t>
  </si>
  <si>
    <t>Section</t>
  </si>
  <si>
    <t>Production Qty</t>
  </si>
  <si>
    <t>Rework%</t>
  </si>
  <si>
    <t>Rejection%</t>
  </si>
  <si>
    <t>IG</t>
  </si>
  <si>
    <t>EG</t>
  </si>
  <si>
    <t>CG</t>
  </si>
  <si>
    <t>FG</t>
  </si>
  <si>
    <t>IG Section Rejection</t>
  </si>
  <si>
    <t>M/c2</t>
  </si>
  <si>
    <t>Rejection Qty</t>
  </si>
  <si>
    <t>Sum of Total</t>
  </si>
  <si>
    <t>Reje%</t>
  </si>
  <si>
    <t>IG.11</t>
  </si>
  <si>
    <t>IG.17</t>
  </si>
  <si>
    <t>IG.18</t>
  </si>
  <si>
    <t>IG.04</t>
  </si>
  <si>
    <t>IG.01</t>
  </si>
  <si>
    <t>IG.15</t>
  </si>
  <si>
    <t>IG.13</t>
  </si>
  <si>
    <t>IG.12</t>
  </si>
  <si>
    <t>IG.19</t>
  </si>
  <si>
    <t>IG.16</t>
  </si>
  <si>
    <t>IG.20</t>
  </si>
  <si>
    <t>IG.14</t>
  </si>
  <si>
    <t>Grand Total</t>
  </si>
  <si>
    <t>IG Section Rework</t>
  </si>
  <si>
    <t>Rework Qty</t>
  </si>
  <si>
    <t>Rew%</t>
  </si>
  <si>
    <t>Most Contributor Item for Rejection</t>
  </si>
  <si>
    <t>Item Code</t>
  </si>
  <si>
    <t>Rejection %</t>
  </si>
  <si>
    <t>EG Section Production,Rejection</t>
  </si>
  <si>
    <t>Production Qty</t>
  </si>
  <si>
    <t>Rejection Qty</t>
  </si>
  <si>
    <t>EG.02</t>
  </si>
  <si>
    <t>EG.04</t>
  </si>
  <si>
    <t>EG.05</t>
  </si>
  <si>
    <t>EG.07</t>
  </si>
  <si>
    <t>EG.08</t>
  </si>
  <si>
    <t>EG Section Production,Rework</t>
  </si>
  <si>
    <t>Rework Qty</t>
  </si>
  <si>
    <t>IG Section Production,Rejection and rework</t>
  </si>
  <si>
    <t>Rework</t>
  </si>
  <si>
    <t>Rejection</t>
  </si>
  <si>
    <t>Total Qty</t>
  </si>
  <si>
    <t>Turning Rejection</t>
  </si>
  <si>
    <t>Rewok%</t>
  </si>
  <si>
    <t>EG Section Production,Rejection and rework</t>
  </si>
  <si>
    <t>CG Section Production,Rejection and rework</t>
  </si>
  <si>
    <t>Rej%</t>
  </si>
  <si>
    <t>FG Section Production,Rejection and rework</t>
  </si>
  <si>
    <t>Total
 Qty</t>
  </si>
  <si>
    <t>Turning 
Rejection</t>
  </si>
  <si>
    <t>All Data Are In Minute</t>
  </si>
  <si>
    <t>Sum of RE SETTING,LODING</t>
  </si>
  <si>
    <t>Sum of No Material  14(EXTERNAL)</t>
  </si>
  <si>
    <t>Sum of Ovality Problem 11Ov</t>
  </si>
  <si>
    <t>Sum of No Material  14(INTERNAL)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</si>
  <si>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</si>
  <si>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</si>
  <si>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</si>
  <si>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</si>
  <si>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</si>
  <si>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</si>
  <si>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</si>
  <si>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</si>
  <si>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</si>
  <si>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</si>
  <si>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</si>
  <si>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</si>
  <si>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</si>
  <si>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HO.02</t>
  </si>
  <si>
    <t>HO.03</t>
  </si>
  <si>
    <t>HO.06</t>
  </si>
  <si>
    <t>HO.07 IR</t>
  </si>
  <si>
    <t>HO.07 OR</t>
  </si>
  <si>
    <t>HO.08 IR</t>
  </si>
  <si>
    <t>HO.08 OR</t>
  </si>
  <si>
    <t>HO.09 IR</t>
  </si>
  <si>
    <t>HO.09 OR</t>
  </si>
  <si>
    <t xml:space="preserve">HO.10 </t>
  </si>
  <si>
    <t>IG section Down Time analysis</t>
  </si>
  <si>
    <t>Down time</t>
  </si>
  <si>
    <t>Total Min</t>
  </si>
  <si>
    <t>IG Section</t>
  </si>
  <si>
    <t>Feb.2026</t>
  </si>
  <si>
    <t>Jan.2026</t>
  </si>
  <si>
    <t>Down Time All Section</t>
  </si>
  <si>
    <t>Ho</t>
  </si>
  <si>
    <t>Total time</t>
  </si>
  <si>
    <t>HO</t>
  </si>
  <si>
    <t>OEM item Feb.26</t>
  </si>
  <si>
    <t>Total Ring</t>
  </si>
  <si>
    <t>OK Produced Ring</t>
  </si>
  <si>
    <t>Total Rework</t>
  </si>
  <si>
    <t>In running Rej.</t>
  </si>
  <si>
    <t>Turning Rej.</t>
  </si>
  <si>
    <t>OEE
(Excluded 0 to 10%)</t>
  </si>
  <si>
    <t>Performance</t>
  </si>
  <si>
    <t>Quality</t>
  </si>
  <si>
    <t>P*Q</t>
  </si>
  <si>
    <t>OEM item Jab.26</t>
  </si>
  <si>
    <t>Rework %</t>
  </si>
  <si>
    <t>In running Rej.%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</si>
</sst>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0_ "/>
  </numFmts>
  <fonts count="2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0"/>
      <color indexed="8"/>
      <name val="Cambria"/>
      <charset val="134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30" applyNumberFormat="0" applyAlignment="0" applyProtection="0">
      <alignment vertical="center"/>
    </xf>
    <xf numFmtId="0" fontId="19" fillId="11" borderId="31" applyNumberFormat="0" applyAlignment="0" applyProtection="0">
      <alignment vertical="center"/>
    </xf>
    <xf numFmtId="0" fontId="20" fillId="11" borderId="30" applyNumberFormat="0" applyAlignment="0" applyProtection="0">
      <alignment vertical="center"/>
    </xf>
    <xf numFmtId="0" fontId="21" fillId="12" borderId="32" applyNumberFormat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78" fontId="3" fillId="0" borderId="3" xfId="0" applyNumberFormat="1" applyFont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178" fontId="0" fillId="0" borderId="1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178" fontId="3" fillId="0" borderId="0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178" fontId="0" fillId="0" borderId="9" xfId="0" applyNumberFormat="1" applyFill="1" applyBorder="1" applyAlignment="1">
      <alignment vertical="center"/>
    </xf>
    <xf numFmtId="178" fontId="0" fillId="0" borderId="9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8" fontId="0" fillId="0" borderId="12" xfId="0" applyNumberForma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8" fontId="6" fillId="0" borderId="13" xfId="0" applyNumberFormat="1" applyFont="1" applyFill="1" applyBorder="1" applyAlignment="1">
      <alignment horizontal="center"/>
    </xf>
    <xf numFmtId="179" fontId="6" fillId="0" borderId="13" xfId="0" applyNumberFormat="1" applyFont="1" applyFill="1" applyBorder="1" applyAlignment="1">
      <alignment horizontal="center"/>
    </xf>
    <xf numFmtId="179" fontId="0" fillId="0" borderId="0" xfId="0" applyNumberFormat="1">
      <alignment vertical="center"/>
    </xf>
    <xf numFmtId="0" fontId="0" fillId="0" borderId="14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/>
    </xf>
    <xf numFmtId="178" fontId="0" fillId="0" borderId="13" xfId="0" applyNumberFormat="1" applyFont="1" applyFill="1" applyBorder="1" applyAlignment="1">
      <alignment horizontal="center"/>
    </xf>
    <xf numFmtId="179" fontId="0" fillId="0" borderId="13" xfId="0" applyNumberFormat="1" applyFont="1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178" fontId="6" fillId="0" borderId="13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6" xfId="0" applyFill="1" applyBorder="1" applyAlignment="1"/>
    <xf numFmtId="0" fontId="0" fillId="0" borderId="13" xfId="0" applyFill="1" applyBorder="1" applyAlignment="1"/>
    <xf numFmtId="179" fontId="0" fillId="0" borderId="1" xfId="0" applyNumberFormat="1" applyFill="1" applyBorder="1" applyAlignment="1"/>
    <xf numFmtId="0" fontId="0" fillId="0" borderId="17" xfId="0" applyFill="1" applyBorder="1" applyAlignment="1"/>
    <xf numFmtId="0" fontId="0" fillId="0" borderId="15" xfId="0" applyFill="1" applyBorder="1" applyAlignment="1"/>
    <xf numFmtId="179" fontId="0" fillId="0" borderId="18" xfId="0" applyNumberFormat="1" applyFill="1" applyBorder="1" applyAlignment="1"/>
    <xf numFmtId="2" fontId="7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" fillId="5" borderId="2" xfId="0" applyFont="1" applyFill="1" applyBorder="1" applyAlignment="1">
      <alignment vertical="center" wrapText="1"/>
    </xf>
    <xf numFmtId="0" fontId="0" fillId="0" borderId="1" xfId="0" applyFill="1" applyBorder="1" applyAlignment="1"/>
    <xf numFmtId="179" fontId="0" fillId="0" borderId="0" xfId="0" applyNumberFormat="1" applyFill="1" applyAlignment="1"/>
    <xf numFmtId="0" fontId="4" fillId="5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8" fillId="7" borderId="20" xfId="0" applyFont="1" applyFill="1" applyBorder="1" applyAlignment="1">
      <alignment horizontal="center"/>
    </xf>
    <xf numFmtId="0" fontId="8" fillId="7" borderId="21" xfId="0" applyFont="1" applyFill="1" applyBorder="1" applyAlignment="1">
      <alignment horizontal="center"/>
    </xf>
    <xf numFmtId="0" fontId="0" fillId="4" borderId="22" xfId="0" applyFill="1" applyBorder="1" applyAlignment="1">
      <alignment horizontal="center" vertical="center" wrapText="1"/>
    </xf>
    <xf numFmtId="178" fontId="0" fillId="0" borderId="13" xfId="0" applyNumberFormat="1" applyFill="1" applyBorder="1" applyAlignment="1">
      <alignment horizontal="center" vertical="center"/>
    </xf>
    <xf numFmtId="0" fontId="0" fillId="0" borderId="20" xfId="0" applyFill="1" applyBorder="1" applyAlignment="1"/>
    <xf numFmtId="178" fontId="6" fillId="0" borderId="21" xfId="0" applyNumberFormat="1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0" fontId="0" fillId="3" borderId="22" xfId="0" applyFill="1" applyBorder="1" applyAlignment="1">
      <alignment vertical="center" wrapText="1"/>
    </xf>
    <xf numFmtId="0" fontId="0" fillId="4" borderId="22" xfId="0" applyFill="1" applyBorder="1" applyAlignment="1">
      <alignment vertical="center" wrapText="1"/>
    </xf>
    <xf numFmtId="178" fontId="6" fillId="0" borderId="22" xfId="0" applyNumberFormat="1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/>
    </xf>
    <xf numFmtId="2" fontId="6" fillId="0" borderId="21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>
      <alignment vertical="center"/>
    </xf>
    <xf numFmtId="0" fontId="0" fillId="0" borderId="24" xfId="0" applyBorder="1">
      <alignment vertical="center"/>
    </xf>
    <xf numFmtId="0" fontId="0" fillId="0" borderId="23" xfId="0" applyBorder="1">
      <alignment vertical="center"/>
    </xf>
    <xf numFmtId="0" fontId="0" fillId="0" borderId="1" xfId="0" applyNumberFormat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Fill="1" applyBorder="1" applyAlignment="1"/>
    <xf numFmtId="0" fontId="9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0" fontId="0" fillId="0" borderId="1" xfId="0" applyNumberFormat="1" applyFill="1" applyBorder="1" applyAlignment="1">
      <alignment horizontal="center"/>
    </xf>
    <xf numFmtId="179" fontId="0" fillId="0" borderId="1" xfId="0" applyNumberForma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Plan vs Achievement YOY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Feb.26!$B$63</c:f>
              <c:strCache>
                <c:ptCount val="1"/>
                <c:pt idx="0">
                  <c:v>Paninig 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Feb.26!$A$65:$A$66</c:f>
              <c:strCache>
                <c:ptCount val="2"/>
                <c:pt idx="0">
                  <c:v>2024-2025</c:v>
                </c:pt>
                <c:pt idx="1">
                  <c:v>2025-2026</c:v>
                </c:pt>
              </c:strCache>
            </c:strRef>
          </c:cat>
          <c:val>
            <c:numRef>
              <c:f>Feb.26!$B$65:$B$66</c:f>
              <c:numCache>
                <c:formatCode>General</c:formatCode>
                <c:ptCount val="2"/>
                <c:pt idx="0">
                  <c:v>4553943</c:v>
                </c:pt>
                <c:pt idx="1">
                  <c:v>4234914</c:v>
                </c:pt>
              </c:numCache>
            </c:numRef>
          </c:val>
        </c:ser>
        <c:ser>
          <c:idx val="1"/>
          <c:order val="1"/>
          <c:tx>
            <c:strRef>
              <c:f>Feb.26!$C$63</c:f>
              <c:strCache>
                <c:ptCount val="1"/>
                <c:pt idx="0">
                  <c:v>Achie.Qty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Feb.26!$A$65:$A$66</c:f>
              <c:strCache>
                <c:ptCount val="2"/>
                <c:pt idx="0">
                  <c:v>2024-2025</c:v>
                </c:pt>
                <c:pt idx="1">
                  <c:v>2025-2026</c:v>
                </c:pt>
              </c:strCache>
            </c:strRef>
          </c:cat>
          <c:val>
            <c:numRef>
              <c:f>Feb.26!$C$65:$C$66</c:f>
              <c:numCache>
                <c:formatCode>General</c:formatCode>
                <c:ptCount val="2"/>
                <c:pt idx="0">
                  <c:v>3465502</c:v>
                </c:pt>
                <c:pt idx="1">
                  <c:v>3131663</c:v>
                </c:pt>
              </c:numCache>
            </c:numRef>
          </c:val>
        </c:ser>
        <c:ser>
          <c:idx val="2"/>
          <c:order val="2"/>
          <c:tx>
            <c:strRef>
              <c:f>Feb.26!$D$63</c:f>
              <c:strCache>
                <c:ptCount val="1"/>
                <c:pt idx="0">
                  <c:v>Ach.%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Feb.26!$A$65:$A$66</c:f>
              <c:strCache>
                <c:ptCount val="2"/>
                <c:pt idx="0">
                  <c:v>2024-2025</c:v>
                </c:pt>
                <c:pt idx="1">
                  <c:v>2025-2026</c:v>
                </c:pt>
              </c:strCache>
            </c:strRef>
          </c:cat>
          <c:val>
            <c:numRef>
              <c:f>Feb.26!$D$65:$D$66</c:f>
              <c:numCache>
                <c:formatCode>0_ </c:formatCode>
                <c:ptCount val="2"/>
                <c:pt idx="0">
                  <c:v>76.0989322879096</c:v>
                </c:pt>
                <c:pt idx="1">
                  <c:v>73.948679949581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947606"/>
        <c:axId val="907590885"/>
      </c:barChart>
      <c:catAx>
        <c:axId val="2529476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590885"/>
        <c:crosses val="autoZero"/>
        <c:auto val="1"/>
        <c:lblAlgn val="ctr"/>
        <c:lblOffset val="100"/>
        <c:noMultiLvlLbl val="0"/>
      </c:catAx>
      <c:valAx>
        <c:axId val="9075908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94760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13d7fa-89f8-4653-901d-f53056967c73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Feb.26!$D$2</c:f>
              <c:strCache>
                <c:ptCount val="1"/>
                <c:pt idx="0">
                  <c:v>Achi.%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Feb.26!$D$3:$D$13</c:f>
              <c:numCache>
                <c:formatCode>General</c:formatCode>
                <c:ptCount val="11"/>
                <c:pt idx="0">
                  <c:v>82</c:v>
                </c:pt>
                <c:pt idx="1">
                  <c:v>72</c:v>
                </c:pt>
                <c:pt idx="2">
                  <c:v>69</c:v>
                </c:pt>
                <c:pt idx="3">
                  <c:v>61</c:v>
                </c:pt>
                <c:pt idx="4">
                  <c:v>68</c:v>
                </c:pt>
                <c:pt idx="5">
                  <c:v>77</c:v>
                </c:pt>
                <c:pt idx="6">
                  <c:v>66</c:v>
                </c:pt>
                <c:pt idx="7">
                  <c:v>79</c:v>
                </c:pt>
                <c:pt idx="8">
                  <c:v>88</c:v>
                </c:pt>
                <c:pt idx="9">
                  <c:v>69</c:v>
                </c:pt>
                <c:pt idx="10" c:formatCode="0_ ">
                  <c:v>84.7854511190633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70237414"/>
        <c:axId val="661543721"/>
      </c:barChart>
      <c:lineChart>
        <c:grouping val="standard"/>
        <c:varyColors val="0"/>
        <c:ser>
          <c:idx val="1"/>
          <c:order val="1"/>
          <c:tx>
            <c:strRef>
              <c:f>Feb.26!$E$2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Feb.26!$A$3:$A$13</c:f>
              <c:strCache>
                <c:ptCount val="11"/>
                <c:pt idx="0" c:formatCode="d\-mmm">
                  <c:v>April.25</c:v>
                </c:pt>
                <c:pt idx="1">
                  <c:v>May.25</c:v>
                </c:pt>
                <c:pt idx="2">
                  <c:v>Jun.25</c:v>
                </c:pt>
                <c:pt idx="3">
                  <c:v>Jul.25</c:v>
                </c:pt>
                <c:pt idx="4">
                  <c:v>Aug.25</c:v>
                </c:pt>
                <c:pt idx="5">
                  <c:v>Sep.25</c:v>
                </c:pt>
                <c:pt idx="6">
                  <c:v>Oct.25</c:v>
                </c:pt>
                <c:pt idx="7">
                  <c:v>Nov.25</c:v>
                </c:pt>
                <c:pt idx="8">
                  <c:v>Dec.25</c:v>
                </c:pt>
                <c:pt idx="9">
                  <c:v>Jan.26</c:v>
                </c:pt>
                <c:pt idx="10">
                  <c:v>Feb.26</c:v>
                </c:pt>
              </c:strCache>
            </c:strRef>
          </c:cat>
          <c:val>
            <c:numRef>
              <c:f>Feb.26!$E$3:$E$13</c:f>
              <c:numCache>
                <c:formatCode>General</c:formatCode>
                <c:ptCount val="11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70237414"/>
        <c:axId val="661543721"/>
      </c:lineChart>
      <c:catAx>
        <c:axId val="4702374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543721"/>
        <c:crosses val="autoZero"/>
        <c:auto val="1"/>
        <c:lblAlgn val="ctr"/>
        <c:lblOffset val="100"/>
        <c:noMultiLvlLbl val="0"/>
      </c:catAx>
      <c:valAx>
        <c:axId val="6615437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23741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5c41f3-de3a-4b5a-a743-b72ad8cfdffa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Section production out put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Feb.26!$B$69</c:f>
              <c:strCache>
                <c:ptCount val="1"/>
                <c:pt idx="0">
                  <c:v>Production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Feb.26!$A$70:$A$73</c:f>
              <c:strCache>
                <c:ptCount val="4"/>
                <c:pt idx="0">
                  <c:v>IG</c:v>
                </c:pt>
                <c:pt idx="1">
                  <c:v>EG</c:v>
                </c:pt>
                <c:pt idx="2">
                  <c:v>CG</c:v>
                </c:pt>
                <c:pt idx="3">
                  <c:v>FG</c:v>
                </c:pt>
              </c:strCache>
            </c:strRef>
          </c:cat>
          <c:val>
            <c:numRef>
              <c:f>Feb.26!$B$70:$B$73</c:f>
              <c:numCache>
                <c:formatCode>0_ </c:formatCode>
                <c:ptCount val="4"/>
                <c:pt idx="0">
                  <c:v>283731</c:v>
                </c:pt>
                <c:pt idx="1">
                  <c:v>91991</c:v>
                </c:pt>
                <c:pt idx="2">
                  <c:v>584932</c:v>
                </c:pt>
                <c:pt idx="3">
                  <c:v>454175</c:v>
                </c:pt>
              </c:numCache>
            </c:numRef>
          </c:val>
        </c:ser>
        <c:ser>
          <c:idx val="1"/>
          <c:order val="1"/>
          <c:tx>
            <c:strRef>
              <c:f>Feb.26!$D$69</c:f>
              <c:strCache>
                <c:ptCount val="1"/>
                <c:pt idx="0">
                  <c:v>Rejection%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Feb.26!$A$70:$A$73</c:f>
              <c:strCache>
                <c:ptCount val="4"/>
                <c:pt idx="0">
                  <c:v>IG</c:v>
                </c:pt>
                <c:pt idx="1">
                  <c:v>EG</c:v>
                </c:pt>
                <c:pt idx="2">
                  <c:v>CG</c:v>
                </c:pt>
                <c:pt idx="3">
                  <c:v>FG</c:v>
                </c:pt>
              </c:strCache>
            </c:strRef>
          </c:cat>
          <c:val>
            <c:numRef>
              <c:f>Feb.26!$D$70:$D$73</c:f>
              <c:numCache>
                <c:formatCode>0.00_ </c:formatCode>
                <c:ptCount val="4"/>
                <c:pt idx="0">
                  <c:v>1.91730900042646</c:v>
                </c:pt>
                <c:pt idx="1">
                  <c:v>0.133708732375993</c:v>
                </c:pt>
                <c:pt idx="2">
                  <c:v>0.102063145801563</c:v>
                </c:pt>
                <c:pt idx="3">
                  <c:v>0.0184950734848902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17485787"/>
        <c:axId val="465789685"/>
      </c:barChart>
      <c:catAx>
        <c:axId val="3174857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789685"/>
        <c:crosses val="autoZero"/>
        <c:auto val="1"/>
        <c:lblAlgn val="ctr"/>
        <c:lblOffset val="100"/>
        <c:noMultiLvlLbl val="0"/>
      </c:catAx>
      <c:valAx>
        <c:axId val="4657896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74857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5ccd1b-7e5d-4530-9a5d-516f5140e9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Section Rejection April-Feb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Feb.26!$H$139</c:f>
              <c:strCache>
                <c:ptCount val="1"/>
                <c:pt idx="0">
                  <c:v>Reje%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Feb.26!$A$140:$A$150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Feb.26!$H$140:$H$150</c:f>
              <c:numCache>
                <c:formatCode>0.00_ </c:formatCode>
                <c:ptCount val="11"/>
                <c:pt idx="0">
                  <c:v>1.89809562887693</c:v>
                </c:pt>
                <c:pt idx="1">
                  <c:v>1.20980817680661</c:v>
                </c:pt>
                <c:pt idx="2">
                  <c:v>1.75131348511384</c:v>
                </c:pt>
                <c:pt idx="3">
                  <c:v>1.26240644406219</c:v>
                </c:pt>
                <c:pt idx="4">
                  <c:v>1.7021162890124</c:v>
                </c:pt>
                <c:pt idx="5">
                  <c:v>1.99604886436852</c:v>
                </c:pt>
                <c:pt idx="6">
                  <c:v>1.90142868336511</c:v>
                </c:pt>
                <c:pt idx="7">
                  <c:v>1.45581550965783</c:v>
                </c:pt>
                <c:pt idx="8">
                  <c:v>1.94621984222952</c:v>
                </c:pt>
                <c:pt idx="9">
                  <c:v>2.39083336525651</c:v>
                </c:pt>
                <c:pt idx="10">
                  <c:v>1.91730900042646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44836282"/>
        <c:axId val="339351588"/>
      </c:barChart>
      <c:catAx>
        <c:axId val="8448362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351588"/>
        <c:crosses val="autoZero"/>
        <c:auto val="1"/>
        <c:lblAlgn val="ctr"/>
        <c:lblOffset val="100"/>
        <c:noMultiLvlLbl val="0"/>
      </c:catAx>
      <c:valAx>
        <c:axId val="3393515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83628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2603f9-fd7a-4cd9-a1a8-480dd8f715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Section Produced Qty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Feb.26!$E$139</c:f>
              <c:strCache>
                <c:ptCount val="1"/>
                <c:pt idx="0">
                  <c:v>Total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Feb.26!$A$140:$A$150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Feb.26!$E$140:$E$150</c:f>
              <c:numCache>
                <c:formatCode>General</c:formatCode>
                <c:ptCount val="11"/>
                <c:pt idx="0">
                  <c:v>207155</c:v>
                </c:pt>
                <c:pt idx="1">
                  <c:v>200445</c:v>
                </c:pt>
                <c:pt idx="2">
                  <c:v>215838</c:v>
                </c:pt>
                <c:pt idx="3">
                  <c:v>240097</c:v>
                </c:pt>
                <c:pt idx="4">
                  <c:v>187120</c:v>
                </c:pt>
                <c:pt idx="5">
                  <c:v>234363</c:v>
                </c:pt>
                <c:pt idx="6">
                  <c:v>191435</c:v>
                </c:pt>
                <c:pt idx="7">
                  <c:v>245086</c:v>
                </c:pt>
                <c:pt idx="8">
                  <c:v>277872</c:v>
                </c:pt>
                <c:pt idx="9">
                  <c:v>234939</c:v>
                </c:pt>
                <c:pt idx="10" c:formatCode="0_ ">
                  <c:v>283731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44711191"/>
        <c:axId val="288516676"/>
      </c:barChart>
      <c:catAx>
        <c:axId val="744711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516676"/>
        <c:crosses val="autoZero"/>
        <c:auto val="1"/>
        <c:lblAlgn val="ctr"/>
        <c:lblOffset val="100"/>
        <c:noMultiLvlLbl val="0"/>
      </c:catAx>
      <c:valAx>
        <c:axId val="2885166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711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1702ce-da3b-4576-b4f5-dea459f008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EG Section Rejection April-Feb</a:t>
            </a:r>
          </a:p>
        </c:rich>
      </c:tx>
      <c:layout>
        <c:manualLayout>
          <c:xMode val="edge"/>
          <c:yMode val="edge"/>
          <c:x val="0.268104676771603"/>
          <c:y val="0.0283889283179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Feb.26!$H$154</c:f>
              <c:strCache>
                <c:ptCount val="1"/>
                <c:pt idx="0">
                  <c:v>Reje%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Feb.26!$A$155:$A$165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Feb.26!$H$155:$H$165</c:f>
              <c:numCache>
                <c:formatCode>0.00_ </c:formatCode>
                <c:ptCount val="11"/>
                <c:pt idx="0">
                  <c:v>0.514232725433445</c:v>
                </c:pt>
                <c:pt idx="1">
                  <c:v>0.205539283695596</c:v>
                </c:pt>
                <c:pt idx="2">
                  <c:v>0.614502253174928</c:v>
                </c:pt>
                <c:pt idx="3">
                  <c:v>0.370090288280856</c:v>
                </c:pt>
                <c:pt idx="4">
                  <c:v>0.351920104624896</c:v>
                </c:pt>
                <c:pt idx="5">
                  <c:v>0.579167338434636</c:v>
                </c:pt>
                <c:pt idx="6">
                  <c:v>0.151493291011398</c:v>
                </c:pt>
                <c:pt idx="7">
                  <c:v>0.222730466239144</c:v>
                </c:pt>
                <c:pt idx="8">
                  <c:v>0.292719047563953</c:v>
                </c:pt>
                <c:pt idx="9">
                  <c:v>0.381933354625785</c:v>
                </c:pt>
                <c:pt idx="10">
                  <c:v>0.133708732375993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4061235"/>
        <c:axId val="723574733"/>
      </c:barChart>
      <c:catAx>
        <c:axId val="4540612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574733"/>
        <c:crosses val="autoZero"/>
        <c:auto val="1"/>
        <c:lblAlgn val="ctr"/>
        <c:lblOffset val="100"/>
        <c:noMultiLvlLbl val="0"/>
      </c:catAx>
      <c:valAx>
        <c:axId val="7235747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0612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83aad5-b29e-4c2c-9392-6ad882106a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EG Section Produced qty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Feb.26!$E$154</c:f>
              <c:strCache>
                <c:ptCount val="1"/>
                <c:pt idx="0">
                  <c:v>Total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Feb.26!$A$155:$A$165</c:f>
              <c:strCache>
                <c:ptCount val="11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</c:strCache>
            </c:strRef>
          </c:cat>
          <c:val>
            <c:numRef>
              <c:f>Feb.26!$E$155:$E$165</c:f>
              <c:numCache>
                <c:formatCode>General</c:formatCode>
                <c:ptCount val="11"/>
                <c:pt idx="0">
                  <c:v>71174</c:v>
                </c:pt>
                <c:pt idx="1">
                  <c:v>136227</c:v>
                </c:pt>
                <c:pt idx="2">
                  <c:v>80553</c:v>
                </c:pt>
                <c:pt idx="3">
                  <c:v>87276</c:v>
                </c:pt>
                <c:pt idx="4">
                  <c:v>42055</c:v>
                </c:pt>
                <c:pt idx="5">
                  <c:v>80633</c:v>
                </c:pt>
                <c:pt idx="6">
                  <c:v>69310</c:v>
                </c:pt>
                <c:pt idx="7">
                  <c:v>66897</c:v>
                </c:pt>
                <c:pt idx="8">
                  <c:v>86431</c:v>
                </c:pt>
                <c:pt idx="9">
                  <c:v>75144</c:v>
                </c:pt>
                <c:pt idx="10" c:formatCode="0_ ">
                  <c:v>91991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7843503"/>
        <c:axId val="877474699"/>
      </c:barChart>
      <c:catAx>
        <c:axId val="427843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7474699"/>
        <c:crosses val="autoZero"/>
        <c:auto val="1"/>
        <c:lblAlgn val="ctr"/>
        <c:lblOffset val="100"/>
        <c:noMultiLvlLbl val="0"/>
      </c:catAx>
      <c:valAx>
        <c:axId val="8774746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8435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b3125e-9cf0-46b4-be49-8a3784ddc6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Section Down time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Feb.26!$A$233</c:f>
              <c:strCache>
                <c:ptCount val="1"/>
                <c:pt idx="0">
                  <c:v>Down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Feb.26!$A$234:$A$249</c:f>
              <c:strCache>
                <c:ptCount val="16"/>
                <c:pt idx="0">
                  <c:v>Sum of No Operator   13</c:v>
                </c:pt>
                <c:pt idx="1">
                  <c:v>Sum of No Material  14(EXTERNAL)</c:v>
                </c:pt>
                <c:pt idx="2">
                  <c:v>Sum of RE SETTING,LODING</c:v>
                </c:pt>
                <c:pt idx="3">
                  <c:v>Sum of Mech.Maint.21</c:v>
                </c:pt>
                <c:pt idx="4">
                  <c:v>Sum of No Material  14(INTERNAL)</c:v>
                </c:pt>
                <c:pt idx="5">
                  <c:v>Sum of No Power   24</c:v>
                </c:pt>
                <c:pt idx="6">
                  <c:v>Sum of Taper Problem  11Tp</c:v>
                </c:pt>
                <c:pt idx="7">
                  <c:v>Sum of Size variation Problem  11 Sv
IPG Pro</c:v>
                </c:pt>
                <c:pt idx="8">
                  <c:v>Sum of Other  27</c:v>
                </c:pt>
                <c:pt idx="9">
                  <c:v>Sum of Ovality Problem 11Ov</c:v>
                </c:pt>
                <c:pt idx="10">
                  <c:v>Sum of Elec. Maint.  22</c:v>
                </c:pt>
                <c:pt idx="11">
                  <c:v>Sum of Diamond Turn  11Dt</c:v>
                </c:pt>
                <c:pt idx="12">
                  <c:v>Sum of Ra Problem  11Ra</c:v>
                </c:pt>
                <c:pt idx="13">
                  <c:v>Sum of Diamond change 11Dc</c:v>
                </c:pt>
                <c:pt idx="14">
                  <c:v>Sum of Tool Waiting   12</c:v>
                </c:pt>
                <c:pt idx="15">
                  <c:v>Sum of Raadiua Problem  11Rd</c:v>
                </c:pt>
              </c:strCache>
            </c:strRef>
          </c:cat>
          <c:val>
            <c:numRef>
              <c:f>Feb.26!$B$234:$B$249</c:f>
              <c:numCache>
                <c:formatCode>0_ </c:formatCode>
                <c:ptCount val="16"/>
                <c:pt idx="0">
                  <c:v>65115</c:v>
                </c:pt>
                <c:pt idx="1">
                  <c:v>11520</c:v>
                </c:pt>
                <c:pt idx="2">
                  <c:v>5515</c:v>
                </c:pt>
                <c:pt idx="3">
                  <c:v>3770</c:v>
                </c:pt>
                <c:pt idx="4">
                  <c:v>3040</c:v>
                </c:pt>
                <c:pt idx="5">
                  <c:v>2900</c:v>
                </c:pt>
                <c:pt idx="6">
                  <c:v>2435</c:v>
                </c:pt>
                <c:pt idx="7">
                  <c:v>2370</c:v>
                </c:pt>
                <c:pt idx="8">
                  <c:v>2365</c:v>
                </c:pt>
                <c:pt idx="9">
                  <c:v>1530</c:v>
                </c:pt>
                <c:pt idx="10">
                  <c:v>1325</c:v>
                </c:pt>
                <c:pt idx="11">
                  <c:v>1240</c:v>
                </c:pt>
                <c:pt idx="12">
                  <c:v>290</c:v>
                </c:pt>
                <c:pt idx="13">
                  <c:v>135</c:v>
                </c:pt>
                <c:pt idx="14">
                  <c:v>110</c:v>
                </c:pt>
                <c:pt idx="1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8553683"/>
        <c:axId val="351549479"/>
      </c:barChart>
      <c:catAx>
        <c:axId val="785536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549479"/>
        <c:crosses val="autoZero"/>
        <c:auto val="1"/>
        <c:lblAlgn val="ctr"/>
        <c:lblOffset val="100"/>
        <c:noMultiLvlLbl val="0"/>
      </c:catAx>
      <c:valAx>
        <c:axId val="351549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536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e32f3d-8c7b-4ac8-8e33-d675a92c62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Ho Section Down Time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1550195104647"/>
          <c:y val="0.147594581971042"/>
          <c:w val="0.891493437389145"/>
          <c:h val="0.564595983185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Feb.26!$S$232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Feb.26!$R$233:$R$241</c:f>
              <c:strCache>
                <c:ptCount val="9"/>
                <c:pt idx="0">
                  <c:v>Sum of No Operator   13</c:v>
                </c:pt>
                <c:pt idx="1">
                  <c:v>Sum of No Material  14(INTERNAL)</c:v>
                </c:pt>
                <c:pt idx="2">
                  <c:v>Sum of No Material  14(EXTERNAL)</c:v>
                </c:pt>
                <c:pt idx="3">
                  <c:v>Sum of RE SETTING,LODING</c:v>
                </c:pt>
                <c:pt idx="4">
                  <c:v>Sum of No Power   24</c:v>
                </c:pt>
                <c:pt idx="5">
                  <c:v>Sum of Other  27</c:v>
                </c:pt>
                <c:pt idx="6">
                  <c:v>Sum of Mech.Maint.21</c:v>
                </c:pt>
                <c:pt idx="7">
                  <c:v>Sum of Elec. Maint.  22</c:v>
                </c:pt>
                <c:pt idx="8">
                  <c:v>Sum of Tool Waiting   12</c:v>
                </c:pt>
              </c:strCache>
            </c:strRef>
          </c:cat>
          <c:val>
            <c:numRef>
              <c:f>Feb.26!$S$233:$S$241</c:f>
              <c:numCache>
                <c:formatCode>0_ </c:formatCode>
                <c:ptCount val="9"/>
                <c:pt idx="0">
                  <c:v>51680</c:v>
                </c:pt>
                <c:pt idx="1">
                  <c:v>15395</c:v>
                </c:pt>
                <c:pt idx="2">
                  <c:v>12960</c:v>
                </c:pt>
                <c:pt idx="3">
                  <c:v>5915</c:v>
                </c:pt>
                <c:pt idx="4">
                  <c:v>1805</c:v>
                </c:pt>
                <c:pt idx="5">
                  <c:v>1115</c:v>
                </c:pt>
                <c:pt idx="6">
                  <c:v>320</c:v>
                </c:pt>
                <c:pt idx="7">
                  <c:v>150</c:v>
                </c:pt>
                <c:pt idx="8">
                  <c:v>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1881566"/>
        <c:axId val="588176458"/>
      </c:barChart>
      <c:catAx>
        <c:axId val="7918815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176458"/>
        <c:crosses val="autoZero"/>
        <c:auto val="1"/>
        <c:lblAlgn val="ctr"/>
        <c:lblOffset val="100"/>
        <c:noMultiLvlLbl val="0"/>
      </c:catAx>
      <c:valAx>
        <c:axId val="5881764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188156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8f8160d-301b-4872-aa4b-a54d472d2a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Section Down Time of January 26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Feb.26!$A$233</c:f>
              <c:strCache>
                <c:ptCount val="1"/>
                <c:pt idx="0">
                  <c:v>Down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Feb.26!$A$255:$A$269</c:f>
              <c:strCache>
                <c:ptCount val="15"/>
                <c:pt idx="0">
                  <c:v>Sum of No Operator   13</c:v>
                </c:pt>
                <c:pt idx="1">
                  <c:v>Sum of No Material  14(EXTERNAL)</c:v>
                </c:pt>
                <c:pt idx="2">
                  <c:v>Sum of RE SETTING,LODING</c:v>
                </c:pt>
                <c:pt idx="3">
                  <c:v>Sum of No Material  14(INTERNAL)</c:v>
                </c:pt>
                <c:pt idx="4">
                  <c:v>Sum of No Power   24</c:v>
                </c:pt>
                <c:pt idx="5">
                  <c:v>Sum of Other  27</c:v>
                </c:pt>
                <c:pt idx="6">
                  <c:v>Sum of Taper Problem  11Tp</c:v>
                </c:pt>
                <c:pt idx="7">
                  <c:v>Sum of Size variation Problem  11 Sv
IPG Pro</c:v>
                </c:pt>
                <c:pt idx="8">
                  <c:v>Sum of Diamond Turn  11Dt</c:v>
                </c:pt>
                <c:pt idx="9">
                  <c:v>Sum of Ovality Problem 11Ov</c:v>
                </c:pt>
                <c:pt idx="10">
                  <c:v>Sum of Raadiua Problem  11Rd</c:v>
                </c:pt>
                <c:pt idx="11">
                  <c:v>Sum of Mech.Maint.21</c:v>
                </c:pt>
                <c:pt idx="12">
                  <c:v>Sum of Tool Waiting   12</c:v>
                </c:pt>
                <c:pt idx="13">
                  <c:v>Sum of Diamond change 11Dc</c:v>
                </c:pt>
                <c:pt idx="14">
                  <c:v>Sum of Elec. Maint.  22</c:v>
                </c:pt>
              </c:strCache>
            </c:strRef>
          </c:cat>
          <c:val>
            <c:numRef>
              <c:f>Feb.26!$B$255:$B$269</c:f>
              <c:numCache>
                <c:formatCode>0_ </c:formatCode>
                <c:ptCount val="15"/>
                <c:pt idx="0">
                  <c:v>25790</c:v>
                </c:pt>
                <c:pt idx="1">
                  <c:v>11760</c:v>
                </c:pt>
                <c:pt idx="2">
                  <c:v>6270</c:v>
                </c:pt>
                <c:pt idx="3">
                  <c:v>2665</c:v>
                </c:pt>
                <c:pt idx="4">
                  <c:v>2375</c:v>
                </c:pt>
                <c:pt idx="5">
                  <c:v>2095</c:v>
                </c:pt>
                <c:pt idx="6">
                  <c:v>1825</c:v>
                </c:pt>
                <c:pt idx="7">
                  <c:v>1810</c:v>
                </c:pt>
                <c:pt idx="8">
                  <c:v>1010</c:v>
                </c:pt>
                <c:pt idx="9">
                  <c:v>835</c:v>
                </c:pt>
                <c:pt idx="10">
                  <c:v>595</c:v>
                </c:pt>
                <c:pt idx="11">
                  <c:v>210</c:v>
                </c:pt>
                <c:pt idx="12">
                  <c:v>160</c:v>
                </c:pt>
                <c:pt idx="13">
                  <c:v>105</c:v>
                </c:pt>
                <c:pt idx="14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3754201"/>
        <c:axId val="370654633"/>
      </c:barChart>
      <c:catAx>
        <c:axId val="8737542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0654633"/>
        <c:crosses val="autoZero"/>
        <c:auto val="1"/>
        <c:lblAlgn val="ctr"/>
        <c:lblOffset val="100"/>
        <c:noMultiLvlLbl val="0"/>
      </c:catAx>
      <c:valAx>
        <c:axId val="3706546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75420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bbc179-993c-49a9-8ec6-c9e9894a69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machine Resetting Down time Feb.2026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Feb.26!$A$274</c:f>
              <c:strCache>
                <c:ptCount val="1"/>
                <c:pt idx="0">
                  <c:v>Down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Feb.26!$A$275:$A$286</c:f>
              <c:strCache>
                <c:ptCount val="12"/>
                <c:pt idx="0">
                  <c:v>IG.04</c:v>
                </c:pt>
                <c:pt idx="1">
                  <c:v>IG.01</c:v>
                </c:pt>
                <c:pt idx="2">
                  <c:v>IG.20</c:v>
                </c:pt>
                <c:pt idx="3">
                  <c:v>IG.13</c:v>
                </c:pt>
                <c:pt idx="4">
                  <c:v>IG.15</c:v>
                </c:pt>
                <c:pt idx="5">
                  <c:v>IG.18</c:v>
                </c:pt>
                <c:pt idx="6">
                  <c:v>IG.11</c:v>
                </c:pt>
                <c:pt idx="7">
                  <c:v>IG.16</c:v>
                </c:pt>
                <c:pt idx="8">
                  <c:v>IG.17</c:v>
                </c:pt>
                <c:pt idx="9">
                  <c:v>IG.14</c:v>
                </c:pt>
                <c:pt idx="10">
                  <c:v>IG.19</c:v>
                </c:pt>
                <c:pt idx="11">
                  <c:v>IG.12</c:v>
                </c:pt>
              </c:strCache>
            </c:strRef>
          </c:cat>
          <c:val>
            <c:numRef>
              <c:f>Feb.26!$B$275:$B$286</c:f>
              <c:numCache>
                <c:formatCode>General</c:formatCode>
                <c:ptCount val="12"/>
                <c:pt idx="0">
                  <c:v>950</c:v>
                </c:pt>
                <c:pt idx="1">
                  <c:v>830</c:v>
                </c:pt>
                <c:pt idx="2">
                  <c:v>685</c:v>
                </c:pt>
                <c:pt idx="3">
                  <c:v>595</c:v>
                </c:pt>
                <c:pt idx="4">
                  <c:v>580</c:v>
                </c:pt>
                <c:pt idx="5">
                  <c:v>540</c:v>
                </c:pt>
                <c:pt idx="6">
                  <c:v>450</c:v>
                </c:pt>
                <c:pt idx="7">
                  <c:v>320</c:v>
                </c:pt>
                <c:pt idx="8">
                  <c:v>215</c:v>
                </c:pt>
                <c:pt idx="9">
                  <c:v>165</c:v>
                </c:pt>
                <c:pt idx="10">
                  <c:v>115</c:v>
                </c:pt>
                <c:pt idx="11">
                  <c:v>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04199372"/>
        <c:axId val="622968883"/>
      </c:barChart>
      <c:catAx>
        <c:axId val="1041993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968883"/>
        <c:crosses val="autoZero"/>
        <c:auto val="1"/>
        <c:lblAlgn val="ctr"/>
        <c:lblOffset val="100"/>
        <c:noMultiLvlLbl val="0"/>
      </c:catAx>
      <c:valAx>
        <c:axId val="6229688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1993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c152cf-0084-48f0-9fcc-d883fb7eba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machine Resetting Down time Jan.2026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Feb.26!$A$274</c:f>
              <c:strCache>
                <c:ptCount val="1"/>
                <c:pt idx="0">
                  <c:v>Down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Feb.26!$C$275:$C$286</c:f>
              <c:strCache>
                <c:ptCount val="12"/>
                <c:pt idx="0">
                  <c:v>IG.20</c:v>
                </c:pt>
                <c:pt idx="1">
                  <c:v>IG.04</c:v>
                </c:pt>
                <c:pt idx="2">
                  <c:v>IG.18</c:v>
                </c:pt>
                <c:pt idx="3">
                  <c:v>IG.19</c:v>
                </c:pt>
                <c:pt idx="4">
                  <c:v>IG.15</c:v>
                </c:pt>
                <c:pt idx="5">
                  <c:v>IG.17</c:v>
                </c:pt>
                <c:pt idx="6">
                  <c:v>IG.13</c:v>
                </c:pt>
                <c:pt idx="7">
                  <c:v>IG.16</c:v>
                </c:pt>
                <c:pt idx="8">
                  <c:v>IG.11</c:v>
                </c:pt>
                <c:pt idx="9">
                  <c:v>IG.01</c:v>
                </c:pt>
                <c:pt idx="10">
                  <c:v>IG.14</c:v>
                </c:pt>
                <c:pt idx="11">
                  <c:v>IG.12</c:v>
                </c:pt>
              </c:strCache>
            </c:strRef>
          </c:cat>
          <c:val>
            <c:numRef>
              <c:f>Feb.26!$D$275:$D$286</c:f>
              <c:numCache>
                <c:formatCode>General</c:formatCode>
                <c:ptCount val="12"/>
                <c:pt idx="0">
                  <c:v>1580</c:v>
                </c:pt>
                <c:pt idx="1">
                  <c:v>815</c:v>
                </c:pt>
                <c:pt idx="2">
                  <c:v>675</c:v>
                </c:pt>
                <c:pt idx="3">
                  <c:v>620</c:v>
                </c:pt>
                <c:pt idx="4">
                  <c:v>590</c:v>
                </c:pt>
                <c:pt idx="5">
                  <c:v>460</c:v>
                </c:pt>
                <c:pt idx="6">
                  <c:v>445</c:v>
                </c:pt>
                <c:pt idx="7">
                  <c:v>430</c:v>
                </c:pt>
                <c:pt idx="8">
                  <c:v>410</c:v>
                </c:pt>
                <c:pt idx="9">
                  <c:v>120</c:v>
                </c:pt>
                <c:pt idx="10">
                  <c:v>120</c:v>
                </c:pt>
                <c:pt idx="1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05469215"/>
        <c:axId val="319630866"/>
      </c:barChart>
      <c:catAx>
        <c:axId val="70546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630866"/>
        <c:crosses val="autoZero"/>
        <c:auto val="1"/>
        <c:lblAlgn val="ctr"/>
        <c:lblOffset val="100"/>
        <c:noMultiLvlLbl val="0"/>
      </c:catAx>
      <c:valAx>
        <c:axId val="3196308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46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91440e-ec1e-4273-b289-baff748285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Feb.26!$A$18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Feb.26!$A$19:$A$40</c:f>
              <c:strCache>
                <c:ptCount val="22"/>
                <c:pt idx="0">
                  <c:v>April</c:v>
                </c:pt>
                <c:pt idx="2">
                  <c:v>May</c:v>
                </c:pt>
                <c:pt idx="4">
                  <c:v>June</c:v>
                </c:pt>
                <c:pt idx="6">
                  <c:v>July</c:v>
                </c:pt>
                <c:pt idx="8">
                  <c:v>August</c:v>
                </c:pt>
                <c:pt idx="10">
                  <c:v>September</c:v>
                </c:pt>
                <c:pt idx="12">
                  <c:v>October</c:v>
                </c:pt>
                <c:pt idx="14">
                  <c:v>November</c:v>
                </c:pt>
                <c:pt idx="16">
                  <c:v>December</c:v>
                </c:pt>
                <c:pt idx="18">
                  <c:v>January</c:v>
                </c:pt>
                <c:pt idx="20">
                  <c:v>February</c:v>
                </c:pt>
              </c:strCache>
            </c:strRef>
          </c:cat>
          <c:val>
            <c:numRef>
              <c:f>Feb.26!$A$19:$A$42</c:f>
              <c:numCache>
                <c:formatCode>General</c:formatCode>
                <c:ptCount val="24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</c:numCache>
            </c:numRef>
          </c:val>
        </c:ser>
        <c:ser>
          <c:idx val="4"/>
          <c:order val="1"/>
          <c:tx>
            <c:strRef>
              <c:f>Feb.26!$E$18</c:f>
              <c:strCache>
                <c:ptCount val="1"/>
                <c:pt idx="0">
                  <c:v>Achi.%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Feb.26!$A$19:$A$40</c:f>
              <c:strCache>
                <c:ptCount val="22"/>
                <c:pt idx="0">
                  <c:v>April</c:v>
                </c:pt>
                <c:pt idx="2">
                  <c:v>May</c:v>
                </c:pt>
                <c:pt idx="4">
                  <c:v>June</c:v>
                </c:pt>
                <c:pt idx="6">
                  <c:v>July</c:v>
                </c:pt>
                <c:pt idx="8">
                  <c:v>August</c:v>
                </c:pt>
                <c:pt idx="10">
                  <c:v>September</c:v>
                </c:pt>
                <c:pt idx="12">
                  <c:v>October</c:v>
                </c:pt>
                <c:pt idx="14">
                  <c:v>November</c:v>
                </c:pt>
                <c:pt idx="16">
                  <c:v>December</c:v>
                </c:pt>
                <c:pt idx="18">
                  <c:v>January</c:v>
                </c:pt>
                <c:pt idx="20">
                  <c:v>February</c:v>
                </c:pt>
              </c:strCache>
            </c:strRef>
          </c:cat>
          <c:val>
            <c:numRef>
              <c:f>Feb.26!$E$19:$E$40</c:f>
              <c:numCache>
                <c:formatCode>0_ </c:formatCode>
                <c:ptCount val="22"/>
                <c:pt idx="0">
                  <c:v>69.6974160481603</c:v>
                </c:pt>
                <c:pt idx="1" c:formatCode="General">
                  <c:v>82</c:v>
                </c:pt>
                <c:pt idx="2">
                  <c:v>82.4418791946309</c:v>
                </c:pt>
                <c:pt idx="3" c:formatCode="General">
                  <c:v>72</c:v>
                </c:pt>
                <c:pt idx="4">
                  <c:v>83.8218426667142</c:v>
                </c:pt>
                <c:pt idx="5" c:formatCode="General">
                  <c:v>69</c:v>
                </c:pt>
                <c:pt idx="6">
                  <c:v>63.5729304937213</c:v>
                </c:pt>
                <c:pt idx="7" c:formatCode="General">
                  <c:v>61</c:v>
                </c:pt>
                <c:pt idx="8">
                  <c:v>63.5157801880809</c:v>
                </c:pt>
                <c:pt idx="9" c:formatCode="General">
                  <c:v>68</c:v>
                </c:pt>
                <c:pt idx="10">
                  <c:v>75.7872901544414</c:v>
                </c:pt>
                <c:pt idx="11" c:formatCode="General">
                  <c:v>77</c:v>
                </c:pt>
                <c:pt idx="12">
                  <c:v>87.4318937660684</c:v>
                </c:pt>
                <c:pt idx="13" c:formatCode="General">
                  <c:v>66</c:v>
                </c:pt>
                <c:pt idx="14">
                  <c:v>73.5742588036351</c:v>
                </c:pt>
                <c:pt idx="15" c:formatCode="General">
                  <c:v>79</c:v>
                </c:pt>
                <c:pt idx="16">
                  <c:v>87.4463582735344</c:v>
                </c:pt>
                <c:pt idx="17" c:formatCode="General">
                  <c:v>88</c:v>
                </c:pt>
                <c:pt idx="18">
                  <c:v>81.1629495441452</c:v>
                </c:pt>
                <c:pt idx="19" c:formatCode="General">
                  <c:v>69</c:v>
                </c:pt>
                <c:pt idx="20">
                  <c:v>68.9686098654709</c:v>
                </c:pt>
                <c:pt idx="21">
                  <c:v>84.7854511190633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9746168"/>
        <c:axId val="417553037"/>
      </c:barChart>
      <c:catAx>
        <c:axId val="349746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553037"/>
        <c:crosses val="autoZero"/>
        <c:auto val="1"/>
        <c:lblAlgn val="ctr"/>
        <c:lblOffset val="100"/>
        <c:noMultiLvlLbl val="0"/>
      </c:catAx>
      <c:valAx>
        <c:axId val="4175530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746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6d70ce-4e50-4595-b0d1-6364a4a76b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machine Reje%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Feb.26!$D$76</c:f>
              <c:strCache>
                <c:ptCount val="1"/>
                <c:pt idx="0">
                  <c:v>Reje%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Feb.26!$A$77:$A$88</c:f>
              <c:strCache>
                <c:ptCount val="12"/>
                <c:pt idx="0">
                  <c:v>IG.11</c:v>
                </c:pt>
                <c:pt idx="1">
                  <c:v>IG.17</c:v>
                </c:pt>
                <c:pt idx="2">
                  <c:v>IG.18</c:v>
                </c:pt>
                <c:pt idx="3">
                  <c:v>IG.04</c:v>
                </c:pt>
                <c:pt idx="4">
                  <c:v>IG.01</c:v>
                </c:pt>
                <c:pt idx="5">
                  <c:v>IG.15</c:v>
                </c:pt>
                <c:pt idx="6">
                  <c:v>IG.13</c:v>
                </c:pt>
                <c:pt idx="7">
                  <c:v>IG.12</c:v>
                </c:pt>
                <c:pt idx="8">
                  <c:v>IG.19</c:v>
                </c:pt>
                <c:pt idx="9">
                  <c:v>IG.16</c:v>
                </c:pt>
                <c:pt idx="10">
                  <c:v>IG.20</c:v>
                </c:pt>
                <c:pt idx="11">
                  <c:v>IG.14</c:v>
                </c:pt>
              </c:strCache>
            </c:strRef>
          </c:cat>
          <c:val>
            <c:numRef>
              <c:f>Feb.26!$D$77:$D$88</c:f>
              <c:numCache>
                <c:formatCode>0.00_ </c:formatCode>
                <c:ptCount val="12"/>
                <c:pt idx="0">
                  <c:v>4.3298587553198</c:v>
                </c:pt>
                <c:pt idx="1">
                  <c:v>3.1826646351786</c:v>
                </c:pt>
                <c:pt idx="2">
                  <c:v>2.96591232275627</c:v>
                </c:pt>
                <c:pt idx="3">
                  <c:v>2.70537479777099</c:v>
                </c:pt>
                <c:pt idx="4">
                  <c:v>2.58492030326548</c:v>
                </c:pt>
                <c:pt idx="5">
                  <c:v>2.25944022368458</c:v>
                </c:pt>
                <c:pt idx="6">
                  <c:v>1.8273606370876</c:v>
                </c:pt>
                <c:pt idx="7">
                  <c:v>1.51999431777825</c:v>
                </c:pt>
                <c:pt idx="8">
                  <c:v>1.01161483701761</c:v>
                </c:pt>
                <c:pt idx="9">
                  <c:v>0.755361193611001</c:v>
                </c:pt>
                <c:pt idx="10">
                  <c:v>0.699070647257176</c:v>
                </c:pt>
                <c:pt idx="11">
                  <c:v>0.423889032617565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6205235"/>
        <c:axId val="571395267"/>
      </c:barChart>
      <c:catAx>
        <c:axId val="4762052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1395267"/>
        <c:crosses val="autoZero"/>
        <c:auto val="1"/>
        <c:lblAlgn val="ctr"/>
        <c:lblOffset val="100"/>
        <c:noMultiLvlLbl val="0"/>
      </c:catAx>
      <c:valAx>
        <c:axId val="5713952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62052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Feb.26!$D$93:$D$104</c:f>
              <c:numCache>
                <c:formatCode>0.00_ </c:formatCode>
                <c:ptCount val="12"/>
                <c:pt idx="0">
                  <c:v>9.10783815811749</c:v>
                </c:pt>
                <c:pt idx="1">
                  <c:v>8.24278756088423</c:v>
                </c:pt>
                <c:pt idx="2">
                  <c:v>6.61262798634812</c:v>
                </c:pt>
                <c:pt idx="3">
                  <c:v>5.82248812681182</c:v>
                </c:pt>
                <c:pt idx="4">
                  <c:v>5.80393707458977</c:v>
                </c:pt>
                <c:pt idx="5">
                  <c:v>5.10066510875427</c:v>
                </c:pt>
                <c:pt idx="6">
                  <c:v>5.00035513885929</c:v>
                </c:pt>
                <c:pt idx="7">
                  <c:v>3.65254133994231</c:v>
                </c:pt>
                <c:pt idx="8">
                  <c:v>3.38021218850234</c:v>
                </c:pt>
                <c:pt idx="9">
                  <c:v>1.37913192302334</c:v>
                </c:pt>
                <c:pt idx="10">
                  <c:v>1.29146518615804</c:v>
                </c:pt>
                <c:pt idx="11">
                  <c:v>0.64778653445897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Feb.26!$A$92:$A$104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2066066"/>
        <c:axId val="53870431"/>
      </c:barChart>
      <c:catAx>
        <c:axId val="6020660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70431"/>
        <c:crosses val="autoZero"/>
        <c:auto val="1"/>
        <c:lblAlgn val="ctr"/>
        <c:lblOffset val="100"/>
        <c:noMultiLvlLbl val="0"/>
      </c:catAx>
      <c:valAx>
        <c:axId val="538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0660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Most Contributor Item for Rejection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Feb.26!$D$108</c:f>
              <c:strCache>
                <c:ptCount val="1"/>
                <c:pt idx="0">
                  <c:v>Rejection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Feb.26!$A$113:$A$119</c:f>
              <c:numCache>
                <c:formatCode>0.00</c:formatCode>
                <c:ptCount val="7"/>
                <c:pt idx="0" c:formatCode="0.00">
                  <c:v>100299.14</c:v>
                </c:pt>
                <c:pt idx="1" c:formatCode="0.00">
                  <c:v>100261</c:v>
                </c:pt>
                <c:pt idx="2" c:formatCode="0.00">
                  <c:v>208417</c:v>
                </c:pt>
                <c:pt idx="3" c:formatCode="0.00">
                  <c:v>104299</c:v>
                </c:pt>
                <c:pt idx="4" c:formatCode="0.00">
                  <c:v>208448</c:v>
                </c:pt>
                <c:pt idx="5" c:formatCode="0.00">
                  <c:v>104249</c:v>
                </c:pt>
                <c:pt idx="6" c:formatCode="0.00">
                  <c:v>200827.1</c:v>
                </c:pt>
              </c:numCache>
            </c:numRef>
          </c:cat>
          <c:val>
            <c:numRef>
              <c:f>Feb.26!$D$113:$D$119</c:f>
              <c:numCache>
                <c:formatCode>0.00_ </c:formatCode>
                <c:ptCount val="7"/>
                <c:pt idx="0">
                  <c:v>4.78379857690202</c:v>
                </c:pt>
                <c:pt idx="1">
                  <c:v>4.41279272981475</c:v>
                </c:pt>
                <c:pt idx="2">
                  <c:v>3.71662744461576</c:v>
                </c:pt>
                <c:pt idx="3">
                  <c:v>3.17578745904564</c:v>
                </c:pt>
                <c:pt idx="4">
                  <c:v>2.82539682539682</c:v>
                </c:pt>
                <c:pt idx="5">
                  <c:v>1.75894684440511</c:v>
                </c:pt>
                <c:pt idx="6">
                  <c:v>0.929882874327319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8538109"/>
        <c:axId val="673498300"/>
      </c:barChart>
      <c:catAx>
        <c:axId val="8185381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498300"/>
        <c:crosses val="autoZero"/>
        <c:auto val="1"/>
        <c:lblAlgn val="ctr"/>
        <c:lblOffset val="100"/>
        <c:noMultiLvlLbl val="0"/>
      </c:catAx>
      <c:valAx>
        <c:axId val="6734983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853810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76122969098439"/>
          <c:y val="0.0582605076987099"/>
          <c:w val="0.806355527237974"/>
          <c:h val="0.4562213899292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Feb.26!$A$307</c:f>
              <c:strCache>
                <c:ptCount val="1"/>
                <c:pt idx="0">
                  <c:v>Down Time All Section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Feb.26!$C$307:$S$307</c:f>
              <c:strCache>
                <c:ptCount val="17"/>
                <c:pt idx="0">
                  <c:v>Sum of RE SETTING,LODING</c:v>
                </c:pt>
                <c:pt idx="1">
                  <c:v>Sum of No Material  14(EXTERNAL)</c:v>
                </c:pt>
                <c:pt idx="2">
                  <c:v>Sum of Ovality Problem 11Ov</c:v>
                </c:pt>
                <c:pt idx="3">
                  <c:v>Sum of No Material  14(INTERNAL)</c:v>
                </c:pt>
                <c:pt idx="4">
                  <c:v>Sum of Taper Problem  11Tp</c:v>
                </c:pt>
                <c:pt idx="5">
                  <c:v>Sum of Ra Problem  11Ra</c:v>
                </c:pt>
                <c:pt idx="6">
                  <c:v>Sum of Raadiua Problem  11Rd</c:v>
                </c:pt>
                <c:pt idx="7">
                  <c:v>Sum of Size variation Problem  11 Sv
IPG Pro</c:v>
                </c:pt>
                <c:pt idx="8">
                  <c:v>Sum of Diamond Turn  11Dt</c:v>
                </c:pt>
                <c:pt idx="9">
                  <c:v>Sum of Diamond change 11Dc</c:v>
                </c:pt>
                <c:pt idx="10">
                  <c:v>Sum of Tool Waiting   12</c:v>
                </c:pt>
                <c:pt idx="11">
                  <c:v>Sum of Finishing Problem 11Fn</c:v>
                </c:pt>
                <c:pt idx="12">
                  <c:v>Sum of No Operator   13</c:v>
                </c:pt>
                <c:pt idx="13">
                  <c:v>Sum of No Power   24</c:v>
                </c:pt>
                <c:pt idx="14">
                  <c:v>Sum of Mech.Maint.21</c:v>
                </c:pt>
                <c:pt idx="15">
                  <c:v>Sum of Elec. Maint.  22</c:v>
                </c:pt>
                <c:pt idx="16">
                  <c:v>Sum of Other  27</c:v>
                </c:pt>
              </c:strCache>
            </c:strRef>
          </c:cat>
          <c:val>
            <c:numRef>
              <c:f>Feb.26!$C$313:$S$313</c:f>
              <c:numCache>
                <c:formatCode>General</c:formatCode>
                <c:ptCount val="17"/>
                <c:pt idx="0">
                  <c:v>17205</c:v>
                </c:pt>
                <c:pt idx="1">
                  <c:v>28320</c:v>
                </c:pt>
                <c:pt idx="2">
                  <c:v>1580</c:v>
                </c:pt>
                <c:pt idx="3">
                  <c:v>19690</c:v>
                </c:pt>
                <c:pt idx="4">
                  <c:v>2460</c:v>
                </c:pt>
                <c:pt idx="5">
                  <c:v>290</c:v>
                </c:pt>
                <c:pt idx="6">
                  <c:v>190</c:v>
                </c:pt>
                <c:pt idx="7">
                  <c:v>2455</c:v>
                </c:pt>
                <c:pt idx="8">
                  <c:v>1240</c:v>
                </c:pt>
                <c:pt idx="9">
                  <c:v>135</c:v>
                </c:pt>
                <c:pt idx="10">
                  <c:v>240</c:v>
                </c:pt>
                <c:pt idx="11">
                  <c:v>0</c:v>
                </c:pt>
                <c:pt idx="12">
                  <c:v>203240</c:v>
                </c:pt>
                <c:pt idx="13">
                  <c:v>6525</c:v>
                </c:pt>
                <c:pt idx="14">
                  <c:v>6310</c:v>
                </c:pt>
                <c:pt idx="15">
                  <c:v>4835</c:v>
                </c:pt>
                <c:pt idx="16">
                  <c:v>5030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93215993"/>
        <c:axId val="757256302"/>
      </c:barChart>
      <c:catAx>
        <c:axId val="9932159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256302"/>
        <c:crosses val="autoZero"/>
        <c:auto val="1"/>
        <c:lblAlgn val="ctr"/>
        <c:lblOffset val="100"/>
        <c:noMultiLvlLbl val="0"/>
      </c:catAx>
      <c:valAx>
        <c:axId val="7572563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21599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Ho machine Re setting time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Feb.26!$B$291</c:f>
              <c:strCache>
                <c:ptCount val="1"/>
                <c:pt idx="0">
                  <c:v>Sum of RE SETTING,LODING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Feb.26!$A$292:$A$300</c:f>
              <c:strCache>
                <c:ptCount val="9"/>
                <c:pt idx="0">
                  <c:v>HO.09 OR</c:v>
                </c:pt>
                <c:pt idx="1">
                  <c:v>HO.09 IR</c:v>
                </c:pt>
                <c:pt idx="2">
                  <c:v>HO.07 IR</c:v>
                </c:pt>
                <c:pt idx="3">
                  <c:v>HO.08 OR</c:v>
                </c:pt>
                <c:pt idx="4">
                  <c:v>HO.02</c:v>
                </c:pt>
                <c:pt idx="5">
                  <c:v>HO.03</c:v>
                </c:pt>
                <c:pt idx="6">
                  <c:v>HO.06</c:v>
                </c:pt>
                <c:pt idx="7">
                  <c:v>HO.08 IR</c:v>
                </c:pt>
                <c:pt idx="8">
                  <c:v>HO.07 OR</c:v>
                </c:pt>
              </c:strCache>
            </c:strRef>
          </c:cat>
          <c:val>
            <c:numRef>
              <c:f>Feb.26!$B$292:$B$300</c:f>
              <c:numCache>
                <c:formatCode>General</c:formatCode>
                <c:ptCount val="9"/>
                <c:pt idx="0">
                  <c:v>1435</c:v>
                </c:pt>
                <c:pt idx="1">
                  <c:v>1225</c:v>
                </c:pt>
                <c:pt idx="2">
                  <c:v>955</c:v>
                </c:pt>
                <c:pt idx="3">
                  <c:v>780</c:v>
                </c:pt>
                <c:pt idx="4">
                  <c:v>645</c:v>
                </c:pt>
                <c:pt idx="5">
                  <c:v>515</c:v>
                </c:pt>
                <c:pt idx="6">
                  <c:v>135</c:v>
                </c:pt>
                <c:pt idx="7">
                  <c:v>135</c:v>
                </c:pt>
                <c:pt idx="8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87944066"/>
        <c:axId val="139400539"/>
      </c:barChart>
      <c:catAx>
        <c:axId val="4879440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400539"/>
        <c:crosses val="autoZero"/>
        <c:auto val="1"/>
        <c:lblAlgn val="ctr"/>
        <c:lblOffset val="100"/>
        <c:noMultiLvlLbl val="0"/>
      </c:catAx>
      <c:valAx>
        <c:axId val="1394005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94406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OEE Only OEM item(Excluded 0 to 10%)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Feb.26!$J$345</c:f>
              <c:strCache>
                <c:ptCount val="1"/>
                <c:pt idx="0">
                  <c:v>OEE
(Excluded 0 to 10%)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Feb.26!$A$346:$A$347</c:f>
              <c:strCache>
                <c:ptCount val="2"/>
                <c:pt idx="0">
                  <c:v>Jan.26</c:v>
                </c:pt>
                <c:pt idx="1">
                  <c:v>Feb.26</c:v>
                </c:pt>
              </c:strCache>
            </c:strRef>
          </c:cat>
          <c:val>
            <c:numRef>
              <c:f>Feb.26!$J$346:$J$347</c:f>
              <c:numCache>
                <c:formatCode>0.00%</c:formatCode>
                <c:ptCount val="2"/>
                <c:pt idx="0">
                  <c:v>0.6171</c:v>
                </c:pt>
                <c:pt idx="1">
                  <c:v>0.6337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19805655"/>
        <c:axId val="131241135"/>
      </c:barChart>
      <c:catAx>
        <c:axId val="419805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241135"/>
        <c:crosses val="autoZero"/>
        <c:auto val="1"/>
        <c:lblAlgn val="ctr"/>
        <c:lblOffset val="100"/>
        <c:noMultiLvlLbl val="0"/>
      </c:catAx>
      <c:valAx>
        <c:axId val="131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8056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Performance Fector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Feb.26!$K$345</c:f>
              <c:strCache>
                <c:ptCount val="1"/>
                <c:pt idx="0">
                  <c:v>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Feb.26!$A$346:$A$347</c:f>
              <c:strCache>
                <c:ptCount val="2"/>
                <c:pt idx="0">
                  <c:v>Jan.26</c:v>
                </c:pt>
                <c:pt idx="1">
                  <c:v>Feb.26</c:v>
                </c:pt>
              </c:strCache>
            </c:strRef>
          </c:cat>
          <c:val>
            <c:numRef>
              <c:f>Feb.26!$K$346:$K$347</c:f>
              <c:numCache>
                <c:formatCode>0.00%</c:formatCode>
                <c:ptCount val="2"/>
                <c:pt idx="0">
                  <c:v>0.7923</c:v>
                </c:pt>
                <c:pt idx="1">
                  <c:v>0.83248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4136658"/>
        <c:axId val="588322180"/>
      </c:barChart>
      <c:catAx>
        <c:axId val="8141366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322180"/>
        <c:crosses val="autoZero"/>
        <c:auto val="1"/>
        <c:lblAlgn val="ctr"/>
        <c:lblOffset val="100"/>
        <c:noMultiLvlLbl val="0"/>
      </c:catAx>
      <c:valAx>
        <c:axId val="5883221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1366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Quality Fector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Feb.26!$L$345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Feb.26!$A$346:$A$347</c:f>
              <c:strCache>
                <c:ptCount val="2"/>
                <c:pt idx="0">
                  <c:v>Jan.26</c:v>
                </c:pt>
                <c:pt idx="1">
                  <c:v>Feb.26</c:v>
                </c:pt>
              </c:strCache>
            </c:strRef>
          </c:cat>
          <c:val>
            <c:numRef>
              <c:f>Feb.26!$L$346:$L$347</c:f>
              <c:numCache>
                <c:formatCode>0.00%</c:formatCode>
                <c:ptCount val="2"/>
                <c:pt idx="0">
                  <c:v>0.9198</c:v>
                </c:pt>
                <c:pt idx="1">
                  <c:v>0.9309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4136658"/>
        <c:axId val="588322180"/>
      </c:barChart>
      <c:catAx>
        <c:axId val="8141366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322180"/>
        <c:crosses val="autoZero"/>
        <c:auto val="1"/>
        <c:lblAlgn val="ctr"/>
        <c:lblOffset val="100"/>
        <c:noMultiLvlLbl val="0"/>
      </c:catAx>
      <c:valAx>
        <c:axId val="5883221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1366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bdfc91-4b35-45b5-b894-379a17030c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P*Q  Fector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Feb.26!$M$345</c:f>
              <c:strCache>
                <c:ptCount val="1"/>
                <c:pt idx="0">
                  <c:v>P*Q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Feb.26!$A$346:$A$347</c:f>
              <c:strCache>
                <c:ptCount val="2"/>
                <c:pt idx="0">
                  <c:v>Jan.26</c:v>
                </c:pt>
                <c:pt idx="1">
                  <c:v>Feb.26</c:v>
                </c:pt>
              </c:strCache>
            </c:strRef>
          </c:cat>
          <c:val>
            <c:numRef>
              <c:f>Feb.26!$M$346:$M$347</c:f>
              <c:numCache>
                <c:formatCode>0.00_ </c:formatCode>
                <c:ptCount val="2"/>
                <c:pt idx="0">
                  <c:v>72.93</c:v>
                </c:pt>
                <c:pt idx="1">
                  <c:v>77.497425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4136658"/>
        <c:axId val="588322180"/>
      </c:barChart>
      <c:catAx>
        <c:axId val="8141366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322180"/>
        <c:crosses val="autoZero"/>
        <c:auto val="1"/>
        <c:lblAlgn val="ctr"/>
        <c:lblOffset val="100"/>
        <c:noMultiLvlLbl val="0"/>
      </c:catAx>
      <c:valAx>
        <c:axId val="5883221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13665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bdfc91-4b35-45b5-b894-379a17030c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Section OEM Item Rework 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Feb.26!$E$345</c:f>
              <c:strCache>
                <c:ptCount val="1"/>
                <c:pt idx="0">
                  <c:v>Rework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Feb.26!$E$346:$E$347</c:f>
              <c:numCache>
                <c:formatCode>0.00%</c:formatCode>
                <c:ptCount val="2"/>
                <c:pt idx="0">
                  <c:v>0.0334</c:v>
                </c:pt>
                <c:pt idx="1">
                  <c:v>0.0273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7097969"/>
        <c:axId val="222699643"/>
      </c:barChart>
      <c:catAx>
        <c:axId val="7770979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699643"/>
        <c:crosses val="autoZero"/>
        <c:auto val="1"/>
        <c:lblAlgn val="ctr"/>
        <c:lblOffset val="100"/>
        <c:noMultiLvlLbl val="0"/>
      </c:catAx>
      <c:valAx>
        <c:axId val="2226996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09796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IG Section OEM Item Rejection 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Feb.26!$G$345</c:f>
              <c:strCache>
                <c:ptCount val="1"/>
                <c:pt idx="0">
                  <c:v>In running Rej.%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Feb.26!$G$346:$G$347</c:f>
              <c:numCache>
                <c:formatCode>0.00%</c:formatCode>
                <c:ptCount val="2"/>
                <c:pt idx="0">
                  <c:v>0.0233</c:v>
                </c:pt>
                <c:pt idx="1">
                  <c:v>0.0178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77097969"/>
        <c:axId val="222699643"/>
      </c:barChart>
      <c:catAx>
        <c:axId val="7770979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699643"/>
        <c:crosses val="autoZero"/>
        <c:auto val="1"/>
        <c:lblAlgn val="ctr"/>
        <c:lblOffset val="100"/>
        <c:noMultiLvlLbl val="0"/>
      </c:catAx>
      <c:valAx>
        <c:axId val="2226996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09796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f5814aa-caae-47ec-b165-74b111c271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0" Type="http://schemas.openxmlformats.org/officeDocument/2006/relationships/chart" Target="../charts/chart20.xml"/><Relationship Id="rId2" Type="http://schemas.openxmlformats.org/officeDocument/2006/relationships/chart" Target="../charts/chart2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467995</xdr:colOff>
      <xdr:row>56</xdr:row>
      <xdr:rowOff>125730</xdr:rowOff>
    </xdr:from>
    <xdr:to>
      <xdr:col>14</xdr:col>
      <xdr:colOff>233680</xdr:colOff>
      <xdr:row>66</xdr:row>
      <xdr:rowOff>24130</xdr:rowOff>
    </xdr:to>
    <xdr:graphicFrame>
      <xdr:nvGraphicFramePr>
        <xdr:cNvPr id="2" name="Chart 1"/>
        <xdr:cNvGraphicFramePr/>
      </xdr:nvGraphicFramePr>
      <xdr:xfrm>
        <a:off x="4049395" y="11612880"/>
        <a:ext cx="5252085" cy="2178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479425</xdr:colOff>
      <xdr:row>0</xdr:row>
      <xdr:rowOff>53975</xdr:rowOff>
    </xdr:from>
    <xdr:to>
      <xdr:col>14</xdr:col>
      <xdr:colOff>364490</xdr:colOff>
      <xdr:row>13</xdr:row>
      <xdr:rowOff>73025</xdr:rowOff>
    </xdr:to>
    <xdr:graphicFrame>
      <xdr:nvGraphicFramePr>
        <xdr:cNvPr id="4" name="Chart 3"/>
        <xdr:cNvGraphicFramePr/>
      </xdr:nvGraphicFramePr>
      <xdr:xfrm>
        <a:off x="4060825" y="53975"/>
        <a:ext cx="5371465" cy="2816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606425</xdr:colOff>
      <xdr:row>68</xdr:row>
      <xdr:rowOff>203200</xdr:rowOff>
    </xdr:from>
    <xdr:to>
      <xdr:col>12</xdr:col>
      <xdr:colOff>555625</xdr:colOff>
      <xdr:row>81</xdr:row>
      <xdr:rowOff>50800</xdr:rowOff>
    </xdr:to>
    <xdr:graphicFrame>
      <xdr:nvGraphicFramePr>
        <xdr:cNvPr id="7" name="Chart 6"/>
        <xdr:cNvGraphicFramePr/>
      </xdr:nvGraphicFramePr>
      <xdr:xfrm>
        <a:off x="3578225" y="14351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313690</xdr:colOff>
      <xdr:row>137</xdr:row>
      <xdr:rowOff>1905</xdr:rowOff>
    </xdr:from>
    <xdr:to>
      <xdr:col>17</xdr:col>
      <xdr:colOff>428625</xdr:colOff>
      <xdr:row>150</xdr:row>
      <xdr:rowOff>152400</xdr:rowOff>
    </xdr:to>
    <xdr:graphicFrame>
      <xdr:nvGraphicFramePr>
        <xdr:cNvPr id="18" name="Chart 17"/>
        <xdr:cNvGraphicFramePr/>
      </xdr:nvGraphicFramePr>
      <xdr:xfrm>
        <a:off x="5723890" y="27894280"/>
        <a:ext cx="5601335" cy="2817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568325</xdr:colOff>
      <xdr:row>120</xdr:row>
      <xdr:rowOff>371475</xdr:rowOff>
    </xdr:from>
    <xdr:to>
      <xdr:col>17</xdr:col>
      <xdr:colOff>397510</xdr:colOff>
      <xdr:row>135</xdr:row>
      <xdr:rowOff>111760</xdr:rowOff>
    </xdr:to>
    <xdr:graphicFrame>
      <xdr:nvGraphicFramePr>
        <xdr:cNvPr id="20" name="Chart 19"/>
        <xdr:cNvGraphicFramePr/>
      </xdr:nvGraphicFramePr>
      <xdr:xfrm>
        <a:off x="3540125" y="24577675"/>
        <a:ext cx="7753985" cy="3045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224155</xdr:colOff>
      <xdr:row>151</xdr:row>
      <xdr:rowOff>127635</xdr:rowOff>
    </xdr:from>
    <xdr:to>
      <xdr:col>16</xdr:col>
      <xdr:colOff>267970</xdr:colOff>
      <xdr:row>164</xdr:row>
      <xdr:rowOff>144780</xdr:rowOff>
    </xdr:to>
    <xdr:graphicFrame>
      <xdr:nvGraphicFramePr>
        <xdr:cNvPr id="23" name="Chart 22"/>
        <xdr:cNvGraphicFramePr/>
      </xdr:nvGraphicFramePr>
      <xdr:xfrm>
        <a:off x="5634355" y="30877510"/>
        <a:ext cx="4920615" cy="2684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426085</xdr:colOff>
      <xdr:row>150</xdr:row>
      <xdr:rowOff>151765</xdr:rowOff>
    </xdr:from>
    <xdr:to>
      <xdr:col>24</xdr:col>
      <xdr:colOff>375285</xdr:colOff>
      <xdr:row>164</xdr:row>
      <xdr:rowOff>37465</xdr:rowOff>
    </xdr:to>
    <xdr:graphicFrame>
      <xdr:nvGraphicFramePr>
        <xdr:cNvPr id="24" name="Chart 23"/>
        <xdr:cNvGraphicFramePr/>
      </xdr:nvGraphicFramePr>
      <xdr:xfrm>
        <a:off x="10713085" y="30711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302260</xdr:colOff>
      <xdr:row>232</xdr:row>
      <xdr:rowOff>191770</xdr:rowOff>
    </xdr:from>
    <xdr:to>
      <xdr:col>15</xdr:col>
      <xdr:colOff>439420</xdr:colOff>
      <xdr:row>238</xdr:row>
      <xdr:rowOff>153670</xdr:rowOff>
    </xdr:to>
    <xdr:graphicFrame>
      <xdr:nvGraphicFramePr>
        <xdr:cNvPr id="25" name="Chart 24"/>
        <xdr:cNvGraphicFramePr/>
      </xdr:nvGraphicFramePr>
      <xdr:xfrm>
        <a:off x="1731010" y="49058195"/>
        <a:ext cx="8385810" cy="458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331470</xdr:colOff>
      <xdr:row>238</xdr:row>
      <xdr:rowOff>811530</xdr:rowOff>
    </xdr:from>
    <xdr:to>
      <xdr:col>16</xdr:col>
      <xdr:colOff>447040</xdr:colOff>
      <xdr:row>243</xdr:row>
      <xdr:rowOff>101600</xdr:rowOff>
    </xdr:to>
    <xdr:graphicFrame>
      <xdr:nvGraphicFramePr>
        <xdr:cNvPr id="26" name="Chart 25"/>
        <xdr:cNvGraphicFramePr/>
      </xdr:nvGraphicFramePr>
      <xdr:xfrm>
        <a:off x="1760220" y="54060725"/>
        <a:ext cx="8973820" cy="314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182880</xdr:colOff>
      <xdr:row>259</xdr:row>
      <xdr:rowOff>121285</xdr:rowOff>
    </xdr:from>
    <xdr:to>
      <xdr:col>15</xdr:col>
      <xdr:colOff>355600</xdr:colOff>
      <xdr:row>264</xdr:row>
      <xdr:rowOff>647700</xdr:rowOff>
    </xdr:to>
    <xdr:graphicFrame>
      <xdr:nvGraphicFramePr>
        <xdr:cNvPr id="3" name="Chart 2"/>
        <xdr:cNvGraphicFramePr/>
      </xdr:nvGraphicFramePr>
      <xdr:xfrm>
        <a:off x="1611630" y="67085210"/>
        <a:ext cx="8421370" cy="4145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535305</xdr:colOff>
      <xdr:row>265</xdr:row>
      <xdr:rowOff>101600</xdr:rowOff>
    </xdr:from>
    <xdr:to>
      <xdr:col>14</xdr:col>
      <xdr:colOff>444500</xdr:colOff>
      <xdr:row>270</xdr:row>
      <xdr:rowOff>521970</xdr:rowOff>
    </xdr:to>
    <xdr:graphicFrame>
      <xdr:nvGraphicFramePr>
        <xdr:cNvPr id="6" name="Chart 5"/>
        <xdr:cNvGraphicFramePr/>
      </xdr:nvGraphicFramePr>
      <xdr:xfrm>
        <a:off x="1964055" y="71447025"/>
        <a:ext cx="7548245" cy="3658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88265</xdr:colOff>
      <xdr:row>271</xdr:row>
      <xdr:rowOff>154940</xdr:rowOff>
    </xdr:from>
    <xdr:to>
      <xdr:col>15</xdr:col>
      <xdr:colOff>239395</xdr:colOff>
      <xdr:row>287</xdr:row>
      <xdr:rowOff>63500</xdr:rowOff>
    </xdr:to>
    <xdr:graphicFrame>
      <xdr:nvGraphicFramePr>
        <xdr:cNvPr id="8" name="Chart 7"/>
        <xdr:cNvGraphicFramePr/>
      </xdr:nvGraphicFramePr>
      <xdr:xfrm>
        <a:off x="3669665" y="75500865"/>
        <a:ext cx="6247130" cy="295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83185</xdr:colOff>
      <xdr:row>17</xdr:row>
      <xdr:rowOff>82550</xdr:rowOff>
    </xdr:from>
    <xdr:to>
      <xdr:col>21</xdr:col>
      <xdr:colOff>400050</xdr:colOff>
      <xdr:row>42</xdr:row>
      <xdr:rowOff>121920</xdr:rowOff>
    </xdr:to>
    <xdr:graphicFrame>
      <xdr:nvGraphicFramePr>
        <xdr:cNvPr id="9" name="Chart 8"/>
        <xdr:cNvGraphicFramePr/>
      </xdr:nvGraphicFramePr>
      <xdr:xfrm>
        <a:off x="4274185" y="3768725"/>
        <a:ext cx="9460865" cy="5039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33020</xdr:colOff>
      <xdr:row>81</xdr:row>
      <xdr:rowOff>174625</xdr:rowOff>
    </xdr:from>
    <xdr:to>
      <xdr:col>16</xdr:col>
      <xdr:colOff>32385</xdr:colOff>
      <xdr:row>94</xdr:row>
      <xdr:rowOff>168275</xdr:rowOff>
    </xdr:to>
    <xdr:graphicFrame>
      <xdr:nvGraphicFramePr>
        <xdr:cNvPr id="5" name="Chart 4"/>
        <xdr:cNvGraphicFramePr/>
      </xdr:nvGraphicFramePr>
      <xdr:xfrm>
        <a:off x="3614420" y="17218025"/>
        <a:ext cx="6704965" cy="2660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379095</xdr:colOff>
      <xdr:row>81</xdr:row>
      <xdr:rowOff>102235</xdr:rowOff>
    </xdr:from>
    <xdr:to>
      <xdr:col>23</xdr:col>
      <xdr:colOff>40640</xdr:colOff>
      <xdr:row>95</xdr:row>
      <xdr:rowOff>116840</xdr:rowOff>
    </xdr:to>
    <xdr:graphicFrame>
      <xdr:nvGraphicFramePr>
        <xdr:cNvPr id="10" name="Chart 9"/>
        <xdr:cNvGraphicFramePr/>
      </xdr:nvGraphicFramePr>
      <xdr:xfrm>
        <a:off x="8227695" y="17145635"/>
        <a:ext cx="6367145" cy="2872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236220</xdr:colOff>
      <xdr:row>101</xdr:row>
      <xdr:rowOff>62230</xdr:rowOff>
    </xdr:from>
    <xdr:to>
      <xdr:col>18</xdr:col>
      <xdr:colOff>207645</xdr:colOff>
      <xdr:row>121</xdr:row>
      <xdr:rowOff>97790</xdr:rowOff>
    </xdr:to>
    <xdr:graphicFrame>
      <xdr:nvGraphicFramePr>
        <xdr:cNvPr id="11" name="Chart 10"/>
        <xdr:cNvGraphicFramePr/>
      </xdr:nvGraphicFramePr>
      <xdr:xfrm>
        <a:off x="3817620" y="21106130"/>
        <a:ext cx="7896225" cy="3588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403225</xdr:colOff>
      <xdr:row>299</xdr:row>
      <xdr:rowOff>140335</xdr:rowOff>
    </xdr:from>
    <xdr:to>
      <xdr:col>18</xdr:col>
      <xdr:colOff>482600</xdr:colOff>
      <xdr:row>310</xdr:row>
      <xdr:rowOff>144145</xdr:rowOff>
    </xdr:to>
    <xdr:graphicFrame>
      <xdr:nvGraphicFramePr>
        <xdr:cNvPr id="12" name="Chart 11"/>
        <xdr:cNvGraphicFramePr/>
      </xdr:nvGraphicFramePr>
      <xdr:xfrm>
        <a:off x="3984625" y="81391760"/>
        <a:ext cx="8004175" cy="3051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176530</xdr:colOff>
      <xdr:row>289</xdr:row>
      <xdr:rowOff>9525</xdr:rowOff>
    </xdr:from>
    <xdr:to>
      <xdr:col>17</xdr:col>
      <xdr:colOff>542290</xdr:colOff>
      <xdr:row>299</xdr:row>
      <xdr:rowOff>73660</xdr:rowOff>
    </xdr:to>
    <xdr:graphicFrame>
      <xdr:nvGraphicFramePr>
        <xdr:cNvPr id="13" name="Chart 12"/>
        <xdr:cNvGraphicFramePr/>
      </xdr:nvGraphicFramePr>
      <xdr:xfrm>
        <a:off x="4367530" y="78784450"/>
        <a:ext cx="7071360" cy="2540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354965</xdr:colOff>
      <xdr:row>326</xdr:row>
      <xdr:rowOff>70485</xdr:rowOff>
    </xdr:from>
    <xdr:to>
      <xdr:col>17</xdr:col>
      <xdr:colOff>304165</xdr:colOff>
      <xdr:row>337</xdr:row>
      <xdr:rowOff>146685</xdr:rowOff>
    </xdr:to>
    <xdr:graphicFrame>
      <xdr:nvGraphicFramePr>
        <xdr:cNvPr id="14" name="Chart 13"/>
        <xdr:cNvGraphicFramePr/>
      </xdr:nvGraphicFramePr>
      <xdr:xfrm>
        <a:off x="6374765" y="883704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474345</xdr:colOff>
      <xdr:row>338</xdr:row>
      <xdr:rowOff>80645</xdr:rowOff>
    </xdr:from>
    <xdr:to>
      <xdr:col>21</xdr:col>
      <xdr:colOff>423545</xdr:colOff>
      <xdr:row>346</xdr:row>
      <xdr:rowOff>156845</xdr:rowOff>
    </xdr:to>
    <xdr:graphicFrame>
      <xdr:nvGraphicFramePr>
        <xdr:cNvPr id="15" name="Chart 14"/>
        <xdr:cNvGraphicFramePr/>
      </xdr:nvGraphicFramePr>
      <xdr:xfrm>
        <a:off x="8932545" y="912380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</xdr:col>
      <xdr:colOff>196850</xdr:colOff>
      <xdr:row>348</xdr:row>
      <xdr:rowOff>16510</xdr:rowOff>
    </xdr:from>
    <xdr:to>
      <xdr:col>21</xdr:col>
      <xdr:colOff>146050</xdr:colOff>
      <xdr:row>362</xdr:row>
      <xdr:rowOff>92710</xdr:rowOff>
    </xdr:to>
    <xdr:graphicFrame>
      <xdr:nvGraphicFramePr>
        <xdr:cNvPr id="16" name="Chart 15"/>
        <xdr:cNvGraphicFramePr/>
      </xdr:nvGraphicFramePr>
      <xdr:xfrm>
        <a:off x="8655050" y="942219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383540</xdr:colOff>
      <xdr:row>348</xdr:row>
      <xdr:rowOff>59690</xdr:rowOff>
    </xdr:from>
    <xdr:to>
      <xdr:col>11</xdr:col>
      <xdr:colOff>85090</xdr:colOff>
      <xdr:row>362</xdr:row>
      <xdr:rowOff>135890</xdr:rowOff>
    </xdr:to>
    <xdr:graphicFrame>
      <xdr:nvGraphicFramePr>
        <xdr:cNvPr id="17" name="Chart 16"/>
        <xdr:cNvGraphicFramePr/>
      </xdr:nvGraphicFramePr>
      <xdr:xfrm>
        <a:off x="2498090" y="9426511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21590</xdr:colOff>
      <xdr:row>369</xdr:row>
      <xdr:rowOff>111125</xdr:rowOff>
    </xdr:from>
    <xdr:to>
      <xdr:col>8</xdr:col>
      <xdr:colOff>142240</xdr:colOff>
      <xdr:row>383</xdr:row>
      <xdr:rowOff>187325</xdr:rowOff>
    </xdr:to>
    <xdr:graphicFrame>
      <xdr:nvGraphicFramePr>
        <xdr:cNvPr id="27" name="Chart 26"/>
        <xdr:cNvGraphicFramePr/>
      </xdr:nvGraphicFramePr>
      <xdr:xfrm>
        <a:off x="726440" y="98317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88900</xdr:colOff>
      <xdr:row>369</xdr:row>
      <xdr:rowOff>142240</xdr:rowOff>
    </xdr:from>
    <xdr:to>
      <xdr:col>17</xdr:col>
      <xdr:colOff>38100</xdr:colOff>
      <xdr:row>384</xdr:row>
      <xdr:rowOff>27940</xdr:rowOff>
    </xdr:to>
    <xdr:graphicFrame>
      <xdr:nvGraphicFramePr>
        <xdr:cNvPr id="28" name="Chart 27"/>
        <xdr:cNvGraphicFramePr/>
      </xdr:nvGraphicFramePr>
      <xdr:xfrm>
        <a:off x="6108700" y="9834816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7"/>
  <sheetViews>
    <sheetView tabSelected="1" zoomScale="80" zoomScaleNormal="80" topLeftCell="A350" workbookViewId="0">
      <selection activeCell="T369" sqref="T369"/>
    </sheetView>
  </sheetViews>
  <sheetFormatPr defaultColWidth="9.14285714285714" defaultRowHeight="15"/>
  <cols>
    <col min="1" max="1" width="10.5714285714286"/>
    <col min="2" max="2" width="10.8571428571429" customWidth="1"/>
    <col min="3" max="3" width="10.2857142857143" customWidth="1"/>
    <col min="4" max="4" width="12.8571428571429"/>
  </cols>
  <sheetData>
    <row r="1" ht="23" customHeight="1" spans="1:5">
      <c r="A1" s="2" t="s">
        <v>0</v>
      </c>
      <c r="B1" s="2"/>
      <c r="C1" s="2"/>
      <c r="D1" s="2"/>
      <c r="E1" s="2"/>
    </row>
    <row r="2" s="1" customFormat="1" ht="24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5.75" spans="1:5">
      <c r="A3" s="4" t="s">
        <v>6</v>
      </c>
      <c r="B3" s="5">
        <v>337966</v>
      </c>
      <c r="C3" s="5">
        <v>275681</v>
      </c>
      <c r="D3" s="5">
        <v>82</v>
      </c>
      <c r="E3" s="5">
        <v>95</v>
      </c>
    </row>
    <row r="4" ht="15.75" spans="1:5">
      <c r="A4" s="5" t="s">
        <v>7</v>
      </c>
      <c r="B4" s="5">
        <v>304645</v>
      </c>
      <c r="C4" s="5">
        <v>219345</v>
      </c>
      <c r="D4" s="5">
        <v>72</v>
      </c>
      <c r="E4" s="5">
        <v>95</v>
      </c>
    </row>
    <row r="5" ht="15.75" spans="1:5">
      <c r="A5" s="5" t="s">
        <v>8</v>
      </c>
      <c r="B5" s="5">
        <v>334566</v>
      </c>
      <c r="C5" s="5">
        <v>231290</v>
      </c>
      <c r="D5" s="5">
        <v>69</v>
      </c>
      <c r="E5" s="5">
        <v>95</v>
      </c>
    </row>
    <row r="6" ht="15.75" spans="1:5">
      <c r="A6" s="5" t="s">
        <v>9</v>
      </c>
      <c r="B6" s="5">
        <v>436161</v>
      </c>
      <c r="C6" s="5">
        <v>267465</v>
      </c>
      <c r="D6" s="5">
        <v>61</v>
      </c>
      <c r="E6" s="5">
        <v>95</v>
      </c>
    </row>
    <row r="7" ht="15.75" spans="1:5">
      <c r="A7" s="5" t="s">
        <v>10</v>
      </c>
      <c r="B7" s="5">
        <v>434516</v>
      </c>
      <c r="C7" s="5">
        <v>295438</v>
      </c>
      <c r="D7" s="5">
        <v>68</v>
      </c>
      <c r="E7" s="5">
        <v>95</v>
      </c>
    </row>
    <row r="8" ht="15.75" spans="1:5">
      <c r="A8" s="5" t="s">
        <v>11</v>
      </c>
      <c r="B8" s="5">
        <v>404937</v>
      </c>
      <c r="C8" s="5">
        <v>310693</v>
      </c>
      <c r="D8" s="5">
        <v>77</v>
      </c>
      <c r="E8" s="5">
        <v>95</v>
      </c>
    </row>
    <row r="9" ht="15.75" spans="1:5">
      <c r="A9" s="5" t="s">
        <v>12</v>
      </c>
      <c r="B9" s="5">
        <v>363436</v>
      </c>
      <c r="C9" s="5">
        <v>240741</v>
      </c>
      <c r="D9" s="5">
        <v>66</v>
      </c>
      <c r="E9" s="5">
        <v>95</v>
      </c>
    </row>
    <row r="10" ht="15.75" spans="1:5">
      <c r="A10" s="5" t="s">
        <v>13</v>
      </c>
      <c r="B10" s="5">
        <v>404399</v>
      </c>
      <c r="C10" s="5">
        <v>318999</v>
      </c>
      <c r="D10" s="5">
        <v>79</v>
      </c>
      <c r="E10" s="5">
        <v>95</v>
      </c>
    </row>
    <row r="11" ht="15.75" spans="1:5">
      <c r="A11" s="5" t="s">
        <v>14</v>
      </c>
      <c r="B11" s="5">
        <v>396494</v>
      </c>
      <c r="C11" s="5">
        <v>350693</v>
      </c>
      <c r="D11" s="5">
        <v>88</v>
      </c>
      <c r="E11" s="5">
        <v>95</v>
      </c>
    </row>
    <row r="12" ht="15.75" spans="1:5">
      <c r="A12" s="5" t="s">
        <v>15</v>
      </c>
      <c r="B12" s="5">
        <v>439978</v>
      </c>
      <c r="C12" s="5">
        <v>304318</v>
      </c>
      <c r="D12" s="5">
        <v>69</v>
      </c>
      <c r="E12" s="5">
        <v>95</v>
      </c>
    </row>
    <row r="13" ht="15.75" spans="1:5">
      <c r="A13" s="5" t="s">
        <v>16</v>
      </c>
      <c r="B13" s="5">
        <v>377816</v>
      </c>
      <c r="C13" s="5">
        <v>320333</v>
      </c>
      <c r="D13" s="6">
        <f>C13/B13*100</f>
        <v>84.7854511190633</v>
      </c>
      <c r="E13" s="5">
        <v>95</v>
      </c>
    </row>
    <row r="14" spans="1:5">
      <c r="A14" s="7" t="s">
        <v>17</v>
      </c>
      <c r="B14" s="8">
        <f>SUM(B3:B13)</f>
        <v>4234914</v>
      </c>
      <c r="C14" s="8">
        <f>SUM(C3:C13)</f>
        <v>3134996</v>
      </c>
      <c r="D14" s="9">
        <f>C14/B14*100</f>
        <v>74.0273828464994</v>
      </c>
      <c r="E14" s="10"/>
    </row>
    <row r="16" ht="19" customHeight="1"/>
    <row r="17" ht="21" customHeight="1" spans="2:6">
      <c r="B17" s="11" t="s">
        <v>18</v>
      </c>
      <c r="C17" s="11"/>
      <c r="D17" s="11"/>
      <c r="E17" s="11"/>
      <c r="F17" s="11"/>
    </row>
    <row r="18" ht="16.5" spans="1:6">
      <c r="A18" s="3" t="s">
        <v>1</v>
      </c>
      <c r="B18" s="3" t="s">
        <v>19</v>
      </c>
      <c r="C18" s="3" t="s">
        <v>2</v>
      </c>
      <c r="D18" s="3" t="s">
        <v>3</v>
      </c>
      <c r="E18" s="3" t="s">
        <v>4</v>
      </c>
      <c r="F18" s="3" t="s">
        <v>5</v>
      </c>
    </row>
    <row r="19" ht="15.75" spans="1:6">
      <c r="A19" s="2" t="s">
        <v>20</v>
      </c>
      <c r="B19" s="12">
        <v>2024</v>
      </c>
      <c r="C19" s="5">
        <v>366609</v>
      </c>
      <c r="D19" s="5">
        <v>255517</v>
      </c>
      <c r="E19" s="6">
        <v>69.6974160481603</v>
      </c>
      <c r="F19" s="5">
        <v>95</v>
      </c>
    </row>
    <row r="20" ht="15.75" spans="1:6">
      <c r="A20" s="2"/>
      <c r="B20" s="12">
        <v>2025</v>
      </c>
      <c r="C20" s="5">
        <v>337966</v>
      </c>
      <c r="D20" s="5">
        <v>275681</v>
      </c>
      <c r="E20" s="5">
        <v>82</v>
      </c>
      <c r="F20" s="5">
        <v>95</v>
      </c>
    </row>
    <row r="21" ht="15.75" spans="1:6">
      <c r="A21" s="2" t="s">
        <v>21</v>
      </c>
      <c r="B21" s="12">
        <v>2024</v>
      </c>
      <c r="C21" s="5">
        <v>372500</v>
      </c>
      <c r="D21" s="5">
        <v>307096</v>
      </c>
      <c r="E21" s="6">
        <v>82.4418791946309</v>
      </c>
      <c r="F21" s="5">
        <v>95</v>
      </c>
    </row>
    <row r="22" ht="15.75" spans="1:6">
      <c r="A22" s="2"/>
      <c r="B22" s="12">
        <v>2025</v>
      </c>
      <c r="C22" s="5">
        <v>304645</v>
      </c>
      <c r="D22" s="5">
        <v>219345</v>
      </c>
      <c r="E22" s="5">
        <v>72</v>
      </c>
      <c r="F22" s="5">
        <v>95</v>
      </c>
    </row>
    <row r="23" ht="15.75" spans="1:6">
      <c r="A23" s="2" t="s">
        <v>22</v>
      </c>
      <c r="B23" s="12">
        <v>2024</v>
      </c>
      <c r="C23" s="5">
        <v>336534</v>
      </c>
      <c r="D23" s="5">
        <v>282089</v>
      </c>
      <c r="E23" s="6">
        <v>83.8218426667142</v>
      </c>
      <c r="F23" s="5">
        <v>95</v>
      </c>
    </row>
    <row r="24" ht="15.75" spans="1:6">
      <c r="A24" s="2"/>
      <c r="B24" s="12">
        <v>2025</v>
      </c>
      <c r="C24" s="5">
        <v>334566</v>
      </c>
      <c r="D24" s="5">
        <v>231290</v>
      </c>
      <c r="E24" s="5">
        <v>69</v>
      </c>
      <c r="F24" s="5">
        <v>95</v>
      </c>
    </row>
    <row r="25" ht="15.75" spans="1:6">
      <c r="A25" s="2" t="s">
        <v>23</v>
      </c>
      <c r="B25" s="12">
        <v>2024</v>
      </c>
      <c r="C25" s="5">
        <v>425645</v>
      </c>
      <c r="D25" s="5">
        <v>270595</v>
      </c>
      <c r="E25" s="6">
        <v>63.5729304937213</v>
      </c>
      <c r="F25" s="5">
        <v>95</v>
      </c>
    </row>
    <row r="26" ht="15.75" spans="1:6">
      <c r="A26" s="2"/>
      <c r="B26" s="12">
        <v>2025</v>
      </c>
      <c r="C26" s="5">
        <v>436161</v>
      </c>
      <c r="D26" s="5">
        <v>267465</v>
      </c>
      <c r="E26" s="5">
        <v>61</v>
      </c>
      <c r="F26" s="5">
        <v>95</v>
      </c>
    </row>
    <row r="27" ht="15.75" spans="1:6">
      <c r="A27" s="2" t="s">
        <v>24</v>
      </c>
      <c r="B27" s="12">
        <v>2024</v>
      </c>
      <c r="C27" s="5">
        <v>310611</v>
      </c>
      <c r="D27" s="5">
        <v>197287</v>
      </c>
      <c r="E27" s="6">
        <v>63.5157801880809</v>
      </c>
      <c r="F27" s="5">
        <v>95</v>
      </c>
    </row>
    <row r="28" ht="15.75" spans="1:6">
      <c r="A28" s="2"/>
      <c r="B28" s="12">
        <v>2025</v>
      </c>
      <c r="C28" s="5">
        <v>434516</v>
      </c>
      <c r="D28" s="5">
        <v>295438</v>
      </c>
      <c r="E28" s="5">
        <v>68</v>
      </c>
      <c r="F28" s="5">
        <v>95</v>
      </c>
    </row>
    <row r="29" ht="15.75" spans="1:6">
      <c r="A29" s="2" t="s">
        <v>25</v>
      </c>
      <c r="B29" s="12">
        <v>2024</v>
      </c>
      <c r="C29" s="5">
        <v>321546</v>
      </c>
      <c r="D29" s="5">
        <v>243691</v>
      </c>
      <c r="E29" s="6">
        <v>75.7872901544414</v>
      </c>
      <c r="F29" s="5">
        <v>95</v>
      </c>
    </row>
    <row r="30" ht="15.75" spans="1:6">
      <c r="A30" s="2"/>
      <c r="B30" s="12">
        <v>2025</v>
      </c>
      <c r="C30" s="5">
        <v>404937</v>
      </c>
      <c r="D30" s="5">
        <v>310693</v>
      </c>
      <c r="E30" s="5">
        <v>77</v>
      </c>
      <c r="F30" s="5">
        <v>95</v>
      </c>
    </row>
    <row r="31" ht="15.75" spans="1:6">
      <c r="A31" s="2" t="s">
        <v>26</v>
      </c>
      <c r="B31" s="12">
        <v>2024</v>
      </c>
      <c r="C31" s="5">
        <v>423970</v>
      </c>
      <c r="D31" s="5">
        <v>370685</v>
      </c>
      <c r="E31" s="6">
        <v>87.4318937660684</v>
      </c>
      <c r="F31" s="5">
        <v>95</v>
      </c>
    </row>
    <row r="32" ht="15.75" spans="1:6">
      <c r="A32" s="2"/>
      <c r="B32" s="12">
        <v>2025</v>
      </c>
      <c r="C32" s="5">
        <v>363436</v>
      </c>
      <c r="D32" s="5">
        <v>240741</v>
      </c>
      <c r="E32" s="5">
        <v>66</v>
      </c>
      <c r="F32" s="5">
        <v>95</v>
      </c>
    </row>
    <row r="33" ht="15.75" spans="1:6">
      <c r="A33" s="2" t="s">
        <v>27</v>
      </c>
      <c r="B33" s="12">
        <v>2024</v>
      </c>
      <c r="C33" s="5">
        <v>380837</v>
      </c>
      <c r="D33" s="5">
        <v>280198</v>
      </c>
      <c r="E33" s="6">
        <v>73.5742588036351</v>
      </c>
      <c r="F33" s="5">
        <v>95</v>
      </c>
    </row>
    <row r="34" ht="15.75" spans="1:6">
      <c r="A34" s="2"/>
      <c r="B34" s="12">
        <v>2025</v>
      </c>
      <c r="C34" s="5">
        <v>404399</v>
      </c>
      <c r="D34" s="5">
        <v>318999</v>
      </c>
      <c r="E34" s="5">
        <v>79</v>
      </c>
      <c r="F34" s="5">
        <v>95</v>
      </c>
    </row>
    <row r="35" ht="15.75" spans="1:6">
      <c r="A35" s="2" t="s">
        <v>28</v>
      </c>
      <c r="B35" s="12">
        <v>2024</v>
      </c>
      <c r="C35" s="5">
        <v>422945</v>
      </c>
      <c r="D35" s="5">
        <v>369850</v>
      </c>
      <c r="E35" s="6">
        <v>87.4463582735344</v>
      </c>
      <c r="F35" s="5">
        <v>95</v>
      </c>
    </row>
    <row r="36" ht="15.75" spans="1:6">
      <c r="A36" s="2"/>
      <c r="B36" s="12">
        <v>2025</v>
      </c>
      <c r="C36" s="5">
        <v>396494</v>
      </c>
      <c r="D36" s="5">
        <v>350693</v>
      </c>
      <c r="E36" s="5">
        <v>88</v>
      </c>
      <c r="F36" s="5">
        <v>95</v>
      </c>
    </row>
    <row r="37" ht="15.75" spans="1:6">
      <c r="A37" s="2" t="s">
        <v>29</v>
      </c>
      <c r="B37" s="12">
        <v>2025</v>
      </c>
      <c r="C37" s="5">
        <v>404076</v>
      </c>
      <c r="D37" s="5">
        <v>327960</v>
      </c>
      <c r="E37" s="6">
        <v>81.1629495441452</v>
      </c>
      <c r="F37" s="5">
        <v>95</v>
      </c>
    </row>
    <row r="38" ht="15.75" spans="1:6">
      <c r="A38" s="2"/>
      <c r="B38" s="12">
        <v>2026</v>
      </c>
      <c r="C38" s="5">
        <v>439978</v>
      </c>
      <c r="D38" s="5">
        <v>304318</v>
      </c>
      <c r="E38" s="5">
        <v>69</v>
      </c>
      <c r="F38" s="5">
        <v>95</v>
      </c>
    </row>
    <row r="39" ht="15.75" spans="1:6">
      <c r="A39" s="2" t="s">
        <v>30</v>
      </c>
      <c r="B39" s="12">
        <v>2025</v>
      </c>
      <c r="C39" s="5">
        <v>395825</v>
      </c>
      <c r="D39" s="5">
        <v>272995</v>
      </c>
      <c r="E39" s="6">
        <v>68.9686098654709</v>
      </c>
      <c r="F39" s="5">
        <v>95</v>
      </c>
    </row>
    <row r="40" ht="15.75" spans="1:6">
      <c r="A40" s="2"/>
      <c r="B40" s="12">
        <v>2026</v>
      </c>
      <c r="C40" s="5">
        <v>377816</v>
      </c>
      <c r="D40" s="5">
        <v>320333</v>
      </c>
      <c r="E40" s="6">
        <v>84.7854511190633</v>
      </c>
      <c r="F40" s="5">
        <v>95</v>
      </c>
    </row>
    <row r="41" ht="15.75" spans="1:6">
      <c r="A41" s="2" t="s">
        <v>31</v>
      </c>
      <c r="B41" s="12">
        <v>2025</v>
      </c>
      <c r="C41" s="5">
        <v>392845</v>
      </c>
      <c r="D41" s="5">
        <v>287539</v>
      </c>
      <c r="E41" s="6">
        <v>73.194007814787</v>
      </c>
      <c r="F41" s="5">
        <v>95</v>
      </c>
    </row>
    <row r="42" spans="1:5">
      <c r="A42" s="2"/>
      <c r="B42" s="13"/>
      <c r="C42" s="13"/>
      <c r="D42" s="14"/>
      <c r="E42" s="15"/>
    </row>
    <row r="43" spans="1:5">
      <c r="A43" s="7" t="s">
        <v>17</v>
      </c>
      <c r="B43" s="8">
        <f>SUM(C19:C41)</f>
        <v>8788857</v>
      </c>
      <c r="C43" s="8">
        <f>SUM(D19:D41)</f>
        <v>6600498</v>
      </c>
      <c r="D43" s="9">
        <f>C43/B43*100</f>
        <v>75.1007554224628</v>
      </c>
      <c r="E43" s="10"/>
    </row>
    <row r="44" ht="15.75" spans="1:5">
      <c r="A44" s="2" t="s">
        <v>32</v>
      </c>
      <c r="B44" s="2"/>
      <c r="C44" s="2"/>
      <c r="D44" s="2"/>
      <c r="E44" s="2"/>
    </row>
    <row r="45" ht="16.5" spans="1:5">
      <c r="A45" s="16" t="s">
        <v>1</v>
      </c>
      <c r="B45" s="16" t="s">
        <v>2</v>
      </c>
      <c r="C45" s="16" t="s">
        <v>3</v>
      </c>
      <c r="D45" s="16" t="s">
        <v>4</v>
      </c>
      <c r="E45" s="16" t="s">
        <v>5</v>
      </c>
    </row>
    <row r="46" ht="15.75" spans="1:5">
      <c r="A46" s="4" t="s">
        <v>33</v>
      </c>
      <c r="B46" s="5">
        <v>336089</v>
      </c>
      <c r="C46" s="5">
        <v>215636</v>
      </c>
      <c r="D46" s="6">
        <f t="shared" ref="D46:D55" si="0">C46/B46*100</f>
        <v>64.1603860882088</v>
      </c>
      <c r="E46" s="5">
        <v>95</v>
      </c>
    </row>
    <row r="47" ht="15.75" spans="1:5">
      <c r="A47" s="5" t="s">
        <v>34</v>
      </c>
      <c r="B47" s="5">
        <v>416294</v>
      </c>
      <c r="C47" s="5">
        <v>254416</v>
      </c>
      <c r="D47" s="6">
        <f t="shared" si="0"/>
        <v>61.114500809524</v>
      </c>
      <c r="E47" s="5">
        <v>95</v>
      </c>
    </row>
    <row r="48" ht="15.75" spans="1:5">
      <c r="A48" s="5" t="s">
        <v>35</v>
      </c>
      <c r="B48" s="5">
        <v>367926</v>
      </c>
      <c r="C48" s="5">
        <v>294057</v>
      </c>
      <c r="D48" s="6">
        <f t="shared" si="0"/>
        <v>79.9228649239249</v>
      </c>
      <c r="E48" s="5">
        <v>95</v>
      </c>
    </row>
    <row r="49" ht="15.75" spans="1:5">
      <c r="A49" s="5" t="s">
        <v>36</v>
      </c>
      <c r="B49" s="5">
        <v>421520</v>
      </c>
      <c r="C49" s="5">
        <v>284835</v>
      </c>
      <c r="D49" s="6">
        <f t="shared" si="0"/>
        <v>67.5733061301955</v>
      </c>
      <c r="E49" s="5">
        <v>95</v>
      </c>
    </row>
    <row r="50" ht="15.75" spans="1:5">
      <c r="A50" s="5" t="s">
        <v>37</v>
      </c>
      <c r="B50" s="5">
        <v>393613</v>
      </c>
      <c r="C50" s="5">
        <v>305475</v>
      </c>
      <c r="D50" s="6">
        <f t="shared" si="0"/>
        <v>77.6079550218108</v>
      </c>
      <c r="E50" s="5">
        <v>95</v>
      </c>
    </row>
    <row r="51" ht="15.75" spans="1:5">
      <c r="A51" s="5" t="s">
        <v>38</v>
      </c>
      <c r="B51" s="5">
        <v>241533</v>
      </c>
      <c r="C51" s="5">
        <v>236222</v>
      </c>
      <c r="D51" s="6">
        <f t="shared" si="0"/>
        <v>97.801128624246</v>
      </c>
      <c r="E51" s="5">
        <v>95</v>
      </c>
    </row>
    <row r="52" ht="15.75" spans="1:5">
      <c r="A52" s="5" t="s">
        <v>39</v>
      </c>
      <c r="B52" s="5">
        <v>331489</v>
      </c>
      <c r="C52" s="5">
        <v>310012</v>
      </c>
      <c r="D52" s="6">
        <f t="shared" si="0"/>
        <v>93.5210519806087</v>
      </c>
      <c r="E52" s="5">
        <v>95</v>
      </c>
    </row>
    <row r="53" ht="15.75" spans="1:5">
      <c r="A53" s="5" t="s">
        <v>40</v>
      </c>
      <c r="B53" s="5">
        <v>347432</v>
      </c>
      <c r="C53" s="5">
        <v>293754</v>
      </c>
      <c r="D53" s="6">
        <f t="shared" si="0"/>
        <v>84.5500702295701</v>
      </c>
      <c r="E53" s="5">
        <v>95</v>
      </c>
    </row>
    <row r="54" ht="15.75" spans="1:5">
      <c r="A54" s="5" t="s">
        <v>41</v>
      </c>
      <c r="B54" s="5">
        <v>273236</v>
      </c>
      <c r="C54" s="5">
        <v>203362</v>
      </c>
      <c r="D54" s="6">
        <f t="shared" si="0"/>
        <v>74.4272350641936</v>
      </c>
      <c r="E54" s="5">
        <v>95</v>
      </c>
    </row>
    <row r="55" ht="15.75" spans="1:5">
      <c r="A55" s="5" t="s">
        <v>42</v>
      </c>
      <c r="B55" s="5">
        <v>278281</v>
      </c>
      <c r="C55" s="5">
        <v>199905</v>
      </c>
      <c r="D55" s="6">
        <f t="shared" si="0"/>
        <v>71.83566251379</v>
      </c>
      <c r="E55" s="5">
        <v>95</v>
      </c>
    </row>
    <row r="56" ht="15.75" spans="1:5">
      <c r="A56" s="5" t="s">
        <v>43</v>
      </c>
      <c r="B56" s="5">
        <v>352000</v>
      </c>
      <c r="C56" s="5">
        <v>271253</v>
      </c>
      <c r="D56" s="6">
        <v>77</v>
      </c>
      <c r="E56" s="5">
        <v>95</v>
      </c>
    </row>
    <row r="57" ht="15.75" spans="1:5">
      <c r="A57" s="5" t="s">
        <v>44</v>
      </c>
      <c r="B57" s="5">
        <v>358588</v>
      </c>
      <c r="C57" s="5">
        <v>267790</v>
      </c>
      <c r="D57" s="6">
        <v>74.6790188182538</v>
      </c>
      <c r="E57" s="5">
        <v>95</v>
      </c>
    </row>
    <row r="58" ht="15.75" spans="1:5">
      <c r="A58" s="5" t="s">
        <v>45</v>
      </c>
      <c r="B58" s="5">
        <v>336507</v>
      </c>
      <c r="C58" s="5">
        <v>233382</v>
      </c>
      <c r="D58" s="6">
        <v>69.3542779199244</v>
      </c>
      <c r="E58" s="5">
        <v>95</v>
      </c>
    </row>
    <row r="59" spans="1:4">
      <c r="A59" s="7" t="s">
        <v>17</v>
      </c>
      <c r="B59" s="8">
        <f>SUM(B46:B58)</f>
        <v>4454508</v>
      </c>
      <c r="C59" s="8">
        <f>SUM(C46:C58)</f>
        <v>3370099</v>
      </c>
      <c r="D59" s="9">
        <f>C59/B59*100</f>
        <v>75.6559198007951</v>
      </c>
    </row>
    <row r="60" ht="15.75" spans="1:4">
      <c r="A60" s="17"/>
      <c r="B60" s="18"/>
      <c r="C60" s="18"/>
      <c r="D60" s="19"/>
    </row>
    <row r="61" ht="25" customHeight="1" spans="1:4">
      <c r="A61" s="20" t="s">
        <v>46</v>
      </c>
      <c r="B61" s="21"/>
      <c r="C61" s="21"/>
      <c r="D61" s="22"/>
    </row>
    <row r="62" ht="30" spans="1:4">
      <c r="A62" s="23" t="s">
        <v>1</v>
      </c>
      <c r="B62" s="24" t="s">
        <v>2</v>
      </c>
      <c r="C62" s="24" t="s">
        <v>47</v>
      </c>
      <c r="D62" s="25" t="s">
        <v>48</v>
      </c>
    </row>
    <row r="63" ht="31.5" spans="1:4">
      <c r="A63" s="26" t="s">
        <v>49</v>
      </c>
      <c r="B63" s="27" t="s">
        <v>50</v>
      </c>
      <c r="C63" s="27" t="s">
        <v>51</v>
      </c>
      <c r="D63" s="28" t="s">
        <v>48</v>
      </c>
    </row>
    <row r="64" hidden="1" spans="1:4">
      <c r="A64" s="29" t="s">
        <v>52</v>
      </c>
      <c r="B64" s="8">
        <v>4454508</v>
      </c>
      <c r="C64" s="8">
        <v>3370099</v>
      </c>
      <c r="D64" s="30">
        <v>75.6559198007951</v>
      </c>
    </row>
    <row r="65" spans="1:4">
      <c r="A65" s="29" t="s">
        <v>53</v>
      </c>
      <c r="B65" s="11">
        <v>4553943</v>
      </c>
      <c r="C65" s="11">
        <v>3465502</v>
      </c>
      <c r="D65" s="31">
        <v>76.0989322879096</v>
      </c>
    </row>
    <row r="66" ht="15.75" spans="1:4">
      <c r="A66" s="32" t="s">
        <v>54</v>
      </c>
      <c r="B66" s="33">
        <v>4234914</v>
      </c>
      <c r="C66" s="33">
        <v>3131663</v>
      </c>
      <c r="D66" s="34">
        <v>73.948679949581</v>
      </c>
    </row>
    <row r="69" ht="33" customHeight="1" spans="1:4">
      <c r="A69" s="35" t="s">
        <v>55</v>
      </c>
      <c r="B69" s="36" t="s">
        <v>56</v>
      </c>
      <c r="C69" s="35" t="s">
        <v>57</v>
      </c>
      <c r="D69" s="35" t="s">
        <v>58</v>
      </c>
    </row>
    <row r="70" spans="1:6">
      <c r="A70" s="37" t="s">
        <v>59</v>
      </c>
      <c r="B70" s="38">
        <v>283731</v>
      </c>
      <c r="C70" s="39">
        <v>3.33238172776327</v>
      </c>
      <c r="D70" s="39">
        <v>1.91730900042646</v>
      </c>
      <c r="E70" s="40"/>
      <c r="F70" s="40"/>
    </row>
    <row r="71" spans="1:6">
      <c r="A71" s="37" t="s">
        <v>60</v>
      </c>
      <c r="B71" s="38">
        <v>91991</v>
      </c>
      <c r="C71" s="39">
        <v>0.551140872476655</v>
      </c>
      <c r="D71" s="39">
        <v>0.133708732375993</v>
      </c>
      <c r="E71" s="40"/>
      <c r="F71" s="40"/>
    </row>
    <row r="72" spans="1:6">
      <c r="A72" s="37" t="s">
        <v>61</v>
      </c>
      <c r="B72" s="38">
        <v>584932</v>
      </c>
      <c r="C72" s="39">
        <v>0.962505043321275</v>
      </c>
      <c r="D72" s="39">
        <v>0.102063145801563</v>
      </c>
      <c r="E72" s="40"/>
      <c r="F72" s="40"/>
    </row>
    <row r="73" spans="1:6">
      <c r="A73" s="37" t="s">
        <v>62</v>
      </c>
      <c r="B73" s="38">
        <v>454175</v>
      </c>
      <c r="C73" s="39">
        <v>0</v>
      </c>
      <c r="D73" s="39">
        <v>0.0184950734848902</v>
      </c>
      <c r="E73" s="40"/>
      <c r="F73" s="40"/>
    </row>
    <row r="75" spans="1:4">
      <c r="A75" s="41" t="s">
        <v>63</v>
      </c>
      <c r="B75" s="41"/>
      <c r="C75" s="41"/>
      <c r="D75" s="41"/>
    </row>
    <row r="76" ht="30" spans="1:4">
      <c r="A76" s="42" t="s">
        <v>64</v>
      </c>
      <c r="B76" s="42" t="s">
        <v>65</v>
      </c>
      <c r="C76" s="42" t="s">
        <v>66</v>
      </c>
      <c r="D76" s="43" t="s">
        <v>67</v>
      </c>
    </row>
    <row r="77" customHeight="1" spans="1:4">
      <c r="A77" s="44" t="s">
        <v>68</v>
      </c>
      <c r="B77" s="38">
        <v>702</v>
      </c>
      <c r="C77" s="38">
        <v>15504</v>
      </c>
      <c r="D77" s="39">
        <v>4.3298587553198</v>
      </c>
    </row>
    <row r="78" spans="1:4">
      <c r="A78" s="44" t="s">
        <v>69</v>
      </c>
      <c r="B78" s="45">
        <v>188</v>
      </c>
      <c r="C78" s="45">
        <v>5716</v>
      </c>
      <c r="D78" s="46">
        <v>3.1826646351786</v>
      </c>
    </row>
    <row r="79" spans="1:4">
      <c r="A79" s="44" t="s">
        <v>70</v>
      </c>
      <c r="B79" s="45">
        <v>730</v>
      </c>
      <c r="C79" s="45">
        <v>23871</v>
      </c>
      <c r="D79" s="46">
        <v>2.96591232275627</v>
      </c>
    </row>
    <row r="80" spans="1:4">
      <c r="A80" s="44" t="s">
        <v>71</v>
      </c>
      <c r="B80" s="45">
        <v>602</v>
      </c>
      <c r="C80" s="45">
        <v>21625</v>
      </c>
      <c r="D80" s="46">
        <v>2.70537479777099</v>
      </c>
    </row>
    <row r="81" spans="1:4">
      <c r="A81" s="44" t="s">
        <v>72</v>
      </c>
      <c r="B81" s="45">
        <v>1299</v>
      </c>
      <c r="C81" s="45">
        <v>48836</v>
      </c>
      <c r="D81" s="46">
        <v>2.58492030326548</v>
      </c>
    </row>
    <row r="82" spans="1:4">
      <c r="A82" s="44" t="s">
        <v>73</v>
      </c>
      <c r="B82" s="45">
        <v>800</v>
      </c>
      <c r="C82" s="45">
        <v>33484</v>
      </c>
      <c r="D82" s="46">
        <v>2.25944022368458</v>
      </c>
    </row>
    <row r="83" spans="1:4">
      <c r="A83" s="44" t="s">
        <v>74</v>
      </c>
      <c r="B83" s="45">
        <v>257</v>
      </c>
      <c r="C83" s="45">
        <v>13808</v>
      </c>
      <c r="D83" s="46">
        <v>1.8273606370876</v>
      </c>
    </row>
    <row r="84" spans="1:4">
      <c r="A84" s="44" t="s">
        <v>75</v>
      </c>
      <c r="B84" s="45">
        <v>214</v>
      </c>
      <c r="C84" s="45">
        <v>13855</v>
      </c>
      <c r="D84" s="46">
        <v>1.51999431777825</v>
      </c>
    </row>
    <row r="85" spans="1:4">
      <c r="A85" s="44" t="s">
        <v>76</v>
      </c>
      <c r="B85" s="38">
        <v>27</v>
      </c>
      <c r="C85" s="38">
        <v>2641</v>
      </c>
      <c r="D85" s="39">
        <v>1.01161483701761</v>
      </c>
    </row>
    <row r="86" spans="1:4">
      <c r="A86" s="44" t="s">
        <v>77</v>
      </c>
      <c r="B86" s="45">
        <v>323</v>
      </c>
      <c r="C86" s="45">
        <v>42431</v>
      </c>
      <c r="D86" s="46">
        <v>0.755361193611001</v>
      </c>
    </row>
    <row r="87" spans="1:4">
      <c r="A87" s="44" t="s">
        <v>78</v>
      </c>
      <c r="B87" s="38">
        <v>85</v>
      </c>
      <c r="C87" s="38">
        <v>12059</v>
      </c>
      <c r="D87" s="39">
        <v>0.699070647257176</v>
      </c>
    </row>
    <row r="88" spans="1:4">
      <c r="A88" s="44" t="s">
        <v>79</v>
      </c>
      <c r="B88" s="45">
        <v>213</v>
      </c>
      <c r="C88" s="45">
        <v>49901</v>
      </c>
      <c r="D88" s="46">
        <v>0.423889032617565</v>
      </c>
    </row>
    <row r="89" spans="1:4">
      <c r="A89" s="47" t="s">
        <v>80</v>
      </c>
      <c r="B89" s="48">
        <f>SUM(B77:B88)</f>
        <v>5440</v>
      </c>
      <c r="C89" s="48">
        <f>SUM(C77:C88)</f>
        <v>283731</v>
      </c>
      <c r="D89" s="49"/>
    </row>
    <row r="91" spans="1:4">
      <c r="A91" s="41" t="s">
        <v>81</v>
      </c>
      <c r="B91" s="41"/>
      <c r="C91" s="41"/>
      <c r="D91" s="41"/>
    </row>
    <row r="92" ht="30" spans="1:4">
      <c r="A92" s="42" t="s">
        <v>64</v>
      </c>
      <c r="B92" s="42" t="s">
        <v>82</v>
      </c>
      <c r="C92" s="42" t="s">
        <v>66</v>
      </c>
      <c r="D92" s="43" t="s">
        <v>83</v>
      </c>
    </row>
    <row r="93" spans="1:4">
      <c r="A93" s="44" t="s">
        <v>69</v>
      </c>
      <c r="B93" s="45">
        <v>538</v>
      </c>
      <c r="C93" s="45">
        <v>5716</v>
      </c>
      <c r="D93" s="46">
        <v>9.10783815811749</v>
      </c>
    </row>
    <row r="94" spans="1:4">
      <c r="A94" s="44" t="s">
        <v>76</v>
      </c>
      <c r="B94" s="45">
        <v>220</v>
      </c>
      <c r="C94" s="45">
        <v>2641</v>
      </c>
      <c r="D94" s="46">
        <v>8.24278756088423</v>
      </c>
    </row>
    <row r="95" spans="1:4">
      <c r="A95" s="44" t="s">
        <v>74</v>
      </c>
      <c r="B95" s="45">
        <v>930</v>
      </c>
      <c r="C95" s="45">
        <v>13808</v>
      </c>
      <c r="D95" s="46">
        <v>6.61262798634812</v>
      </c>
    </row>
    <row r="96" spans="1:4">
      <c r="A96" s="44" t="s">
        <v>68</v>
      </c>
      <c r="B96" s="45">
        <v>944</v>
      </c>
      <c r="C96" s="45">
        <v>15504</v>
      </c>
      <c r="D96" s="46">
        <v>5.82248812681182</v>
      </c>
    </row>
    <row r="97" spans="1:4">
      <c r="A97" s="44" t="s">
        <v>73</v>
      </c>
      <c r="B97" s="45">
        <v>2055</v>
      </c>
      <c r="C97" s="45">
        <v>33484</v>
      </c>
      <c r="D97" s="46">
        <v>5.80393707458977</v>
      </c>
    </row>
    <row r="98" spans="1:4">
      <c r="A98" s="44" t="s">
        <v>71</v>
      </c>
      <c r="B98" s="45">
        <v>1135</v>
      </c>
      <c r="C98" s="45">
        <v>21625</v>
      </c>
      <c r="D98" s="46">
        <v>5.10066510875427</v>
      </c>
    </row>
    <row r="99" spans="1:4">
      <c r="A99" s="44" t="s">
        <v>75</v>
      </c>
      <c r="B99" s="45">
        <v>704</v>
      </c>
      <c r="C99" s="45">
        <v>13855</v>
      </c>
      <c r="D99" s="46">
        <v>5.00035513885929</v>
      </c>
    </row>
    <row r="100" spans="1:4">
      <c r="A100" s="44" t="s">
        <v>70</v>
      </c>
      <c r="B100" s="45">
        <v>899</v>
      </c>
      <c r="C100" s="45">
        <v>23871</v>
      </c>
      <c r="D100" s="46">
        <v>3.65254133994231</v>
      </c>
    </row>
    <row r="101" spans="1:4">
      <c r="A101" s="44" t="s">
        <v>78</v>
      </c>
      <c r="B101" s="45">
        <v>411</v>
      </c>
      <c r="C101" s="45">
        <v>12059</v>
      </c>
      <c r="D101" s="46">
        <v>3.38021218850234</v>
      </c>
    </row>
    <row r="102" spans="1:4">
      <c r="A102" s="44" t="s">
        <v>79</v>
      </c>
      <c r="B102" s="45">
        <v>693</v>
      </c>
      <c r="C102" s="45">
        <v>49901</v>
      </c>
      <c r="D102" s="46">
        <v>1.37913192302334</v>
      </c>
    </row>
    <row r="103" spans="1:4">
      <c r="A103" s="44" t="s">
        <v>72</v>
      </c>
      <c r="B103" s="45">
        <v>649</v>
      </c>
      <c r="C103" s="45">
        <v>48836</v>
      </c>
      <c r="D103" s="46">
        <v>1.29146518615804</v>
      </c>
    </row>
    <row r="104" spans="1:4">
      <c r="A104" s="44" t="s">
        <v>77</v>
      </c>
      <c r="B104" s="45">
        <v>277</v>
      </c>
      <c r="C104" s="45">
        <v>42431</v>
      </c>
      <c r="D104" s="46">
        <v>0.64778653445897</v>
      </c>
    </row>
    <row r="105" spans="1:4">
      <c r="A105" s="47" t="s">
        <v>80</v>
      </c>
      <c r="B105" s="48">
        <f>SUM(B93:B104)</f>
        <v>9455</v>
      </c>
      <c r="C105" s="48">
        <f>SUM(C93:C104)</f>
        <v>283731</v>
      </c>
      <c r="D105" s="49"/>
    </row>
    <row r="107" ht="24" customHeight="1" spans="1:4">
      <c r="A107" s="2" t="s">
        <v>84</v>
      </c>
      <c r="B107" s="2"/>
      <c r="C107" s="2"/>
      <c r="D107" s="2"/>
    </row>
    <row r="108" ht="30" spans="1:4">
      <c r="A108" s="50" t="s">
        <v>85</v>
      </c>
      <c r="B108" s="51" t="s">
        <v>65</v>
      </c>
      <c r="C108" s="51" t="s">
        <v>56</v>
      </c>
      <c r="D108" s="50" t="s">
        <v>86</v>
      </c>
    </row>
    <row r="109" hidden="1" spans="1:4">
      <c r="A109" s="52"/>
      <c r="B109" s="53"/>
      <c r="C109" s="53"/>
      <c r="D109" s="54" t="e">
        <f>B109/C109*100</f>
        <v>#DIV/0!</v>
      </c>
    </row>
    <row r="110" hidden="1" spans="1:4">
      <c r="A110" s="52"/>
      <c r="B110" s="53"/>
      <c r="C110" s="53"/>
      <c r="D110" s="54" t="e">
        <f>B110/C110*100</f>
        <v>#DIV/0!</v>
      </c>
    </row>
    <row r="111" hidden="1" spans="1:4">
      <c r="A111" s="52"/>
      <c r="B111" s="53"/>
      <c r="C111" s="53"/>
      <c r="D111" s="54" t="e">
        <f>B111/C111*100</f>
        <v>#DIV/0!</v>
      </c>
    </row>
    <row r="112" hidden="1" spans="1:4">
      <c r="A112" s="55"/>
      <c r="B112" s="56"/>
      <c r="C112" s="56"/>
      <c r="D112" s="57" t="e">
        <f>B112/C112*100</f>
        <v>#DIV/0!</v>
      </c>
    </row>
    <row r="113" spans="1:4">
      <c r="A113" s="58">
        <v>100299.14</v>
      </c>
      <c r="B113" s="59">
        <v>437</v>
      </c>
      <c r="C113" s="59">
        <v>9135</v>
      </c>
      <c r="D113" s="60">
        <v>4.78379857690202</v>
      </c>
    </row>
    <row r="114" spans="1:4">
      <c r="A114" s="58">
        <v>100261</v>
      </c>
      <c r="B114" s="59">
        <v>505</v>
      </c>
      <c r="C114" s="59">
        <v>11444</v>
      </c>
      <c r="D114" s="60">
        <v>4.41279272981475</v>
      </c>
    </row>
    <row r="115" spans="1:4">
      <c r="A115" s="58">
        <v>208417</v>
      </c>
      <c r="B115" s="59">
        <v>458</v>
      </c>
      <c r="C115" s="59">
        <v>12323</v>
      </c>
      <c r="D115" s="60">
        <v>3.71662744461576</v>
      </c>
    </row>
    <row r="116" spans="1:4">
      <c r="A116" s="58">
        <v>104299</v>
      </c>
      <c r="B116" s="59">
        <v>979</v>
      </c>
      <c r="C116" s="59">
        <v>30827</v>
      </c>
      <c r="D116" s="60">
        <v>3.17578745904564</v>
      </c>
    </row>
    <row r="117" spans="1:4">
      <c r="A117" s="58">
        <v>208448</v>
      </c>
      <c r="B117" s="59">
        <v>267</v>
      </c>
      <c r="C117" s="59">
        <v>9450</v>
      </c>
      <c r="D117" s="60">
        <v>2.82539682539682</v>
      </c>
    </row>
    <row r="118" spans="1:4">
      <c r="A118" s="58">
        <v>104249</v>
      </c>
      <c r="B118" s="59">
        <v>318</v>
      </c>
      <c r="C118" s="59">
        <v>18079</v>
      </c>
      <c r="D118" s="60">
        <v>1.75894684440511</v>
      </c>
    </row>
    <row r="119" spans="1:4">
      <c r="A119" s="58">
        <v>200827.1</v>
      </c>
      <c r="B119" s="59">
        <v>235</v>
      </c>
      <c r="C119" s="59">
        <v>25272</v>
      </c>
      <c r="D119" s="60">
        <v>0.929882874327319</v>
      </c>
    </row>
    <row r="120" spans="1:4">
      <c r="A120" s="61" t="s">
        <v>87</v>
      </c>
      <c r="B120" s="61"/>
      <c r="C120" s="61"/>
      <c r="D120" s="61"/>
    </row>
    <row r="121" ht="30.75" spans="1:4">
      <c r="A121" s="62" t="s">
        <v>64</v>
      </c>
      <c r="B121" s="62" t="s">
        <v>88</v>
      </c>
      <c r="C121" s="62" t="s">
        <v>89</v>
      </c>
      <c r="D121" s="62" t="s">
        <v>67</v>
      </c>
    </row>
    <row r="122" spans="1:4">
      <c r="A122" s="45" t="s">
        <v>90</v>
      </c>
      <c r="B122" s="45">
        <v>21555</v>
      </c>
      <c r="C122" s="45">
        <v>28</v>
      </c>
      <c r="D122" s="46">
        <v>0.129725722757598</v>
      </c>
    </row>
    <row r="123" spans="1:4">
      <c r="A123" s="45" t="s">
        <v>91</v>
      </c>
      <c r="B123" s="45">
        <v>4954</v>
      </c>
      <c r="C123" s="45">
        <v>15</v>
      </c>
      <c r="D123" s="46">
        <v>0.301689460981496</v>
      </c>
    </row>
    <row r="124" spans="1:4">
      <c r="A124" s="45" t="s">
        <v>92</v>
      </c>
      <c r="B124" s="45">
        <v>8242</v>
      </c>
      <c r="C124" s="45">
        <v>40</v>
      </c>
      <c r="D124" s="46">
        <v>0.482975126780971</v>
      </c>
    </row>
    <row r="125" spans="1:4">
      <c r="A125" s="45" t="s">
        <v>93</v>
      </c>
      <c r="B125" s="45">
        <v>48239</v>
      </c>
      <c r="C125" s="45">
        <v>22</v>
      </c>
      <c r="D125" s="46">
        <v>0.0455845178401227</v>
      </c>
    </row>
    <row r="126" spans="1:4">
      <c r="A126" s="38" t="s">
        <v>94</v>
      </c>
      <c r="B126" s="38">
        <v>9001</v>
      </c>
      <c r="C126" s="38">
        <v>18</v>
      </c>
      <c r="D126" s="39">
        <v>0.199556541019956</v>
      </c>
    </row>
    <row r="127" spans="1:4">
      <c r="A127" s="63" t="s">
        <v>17</v>
      </c>
      <c r="B127" s="63">
        <f>SUM(B122:B126)</f>
        <v>91991</v>
      </c>
      <c r="C127" s="63">
        <f>SUM(C122:C126)</f>
        <v>123</v>
      </c>
      <c r="D127" s="64"/>
    </row>
    <row r="128" ht="15.75" spans="1:4">
      <c r="A128" s="61" t="s">
        <v>95</v>
      </c>
      <c r="B128" s="61"/>
      <c r="C128" s="61"/>
      <c r="D128" s="61"/>
    </row>
    <row r="129" ht="30.75" spans="1:4">
      <c r="A129" s="65" t="s">
        <v>64</v>
      </c>
      <c r="B129" s="65" t="s">
        <v>88</v>
      </c>
      <c r="C129" s="65" t="s">
        <v>96</v>
      </c>
      <c r="D129" s="65" t="s">
        <v>57</v>
      </c>
    </row>
    <row r="130" ht="15.75" spans="1:4">
      <c r="A130" s="66" t="s">
        <v>90</v>
      </c>
      <c r="B130" s="45">
        <v>21555</v>
      </c>
      <c r="C130" s="45">
        <v>107</v>
      </c>
      <c r="D130" s="46">
        <v>0.495737583395107</v>
      </c>
    </row>
    <row r="131" ht="15.75" spans="1:4">
      <c r="A131" s="66" t="s">
        <v>91</v>
      </c>
      <c r="B131" s="45">
        <v>4954</v>
      </c>
      <c r="C131" s="45">
        <v>90</v>
      </c>
      <c r="D131" s="46">
        <v>1.81013676588898</v>
      </c>
    </row>
    <row r="132" ht="15.75" spans="1:4">
      <c r="A132" s="66" t="s">
        <v>92</v>
      </c>
      <c r="B132" s="45">
        <v>8242</v>
      </c>
      <c r="C132" s="45">
        <v>169</v>
      </c>
      <c r="D132" s="46">
        <v>2.0405699106496</v>
      </c>
    </row>
    <row r="133" ht="15.75" spans="1:4">
      <c r="A133" s="66" t="s">
        <v>93</v>
      </c>
      <c r="B133" s="45">
        <v>48239</v>
      </c>
      <c r="C133" s="45">
        <v>88</v>
      </c>
      <c r="D133" s="46">
        <v>0.182338071360491</v>
      </c>
    </row>
    <row r="134" spans="1:4">
      <c r="A134" s="67" t="s">
        <v>94</v>
      </c>
      <c r="B134" s="38">
        <v>9001</v>
      </c>
      <c r="C134" s="38">
        <v>53</v>
      </c>
      <c r="D134" s="46">
        <v>0.587583148558758</v>
      </c>
    </row>
    <row r="135" spans="1:4">
      <c r="A135" s="63" t="s">
        <v>17</v>
      </c>
      <c r="B135" s="63">
        <f>SUM(B130:B134)</f>
        <v>91991</v>
      </c>
      <c r="C135" s="63">
        <f>SUM(C130:C134)</f>
        <v>507</v>
      </c>
      <c r="D135" s="64"/>
    </row>
    <row r="136" spans="1:4">
      <c r="A136" s="49"/>
      <c r="B136" s="49"/>
      <c r="C136" s="49"/>
      <c r="D136" s="64"/>
    </row>
    <row r="137" spans="1:4">
      <c r="A137" s="49"/>
      <c r="B137" s="49"/>
      <c r="C137" s="49"/>
      <c r="D137" s="64"/>
    </row>
    <row r="138" spans="1:8">
      <c r="A138" s="2" t="s">
        <v>97</v>
      </c>
      <c r="B138" s="2"/>
      <c r="C138" s="2"/>
      <c r="D138" s="2"/>
      <c r="E138" s="2"/>
      <c r="F138" s="2"/>
      <c r="G138" s="2"/>
      <c r="H138" s="2"/>
    </row>
    <row r="139" ht="30" spans="1:8">
      <c r="A139" s="68" t="s">
        <v>1</v>
      </c>
      <c r="B139" s="68" t="s">
        <v>55</v>
      </c>
      <c r="C139" s="68" t="s">
        <v>98</v>
      </c>
      <c r="D139" s="68" t="s">
        <v>99</v>
      </c>
      <c r="E139" s="69" t="s">
        <v>100</v>
      </c>
      <c r="F139" s="69" t="s">
        <v>101</v>
      </c>
      <c r="G139" s="70" t="s">
        <v>102</v>
      </c>
      <c r="H139" s="70" t="s">
        <v>67</v>
      </c>
    </row>
    <row r="140" spans="1:8">
      <c r="A140" s="2" t="s">
        <v>20</v>
      </c>
      <c r="B140" s="2" t="s">
        <v>59</v>
      </c>
      <c r="C140" s="2">
        <v>9263</v>
      </c>
      <c r="D140" s="2">
        <v>3932</v>
      </c>
      <c r="E140" s="2">
        <v>207155</v>
      </c>
      <c r="F140" s="2">
        <v>90</v>
      </c>
      <c r="G140" s="71">
        <f t="shared" ref="G140:G150" si="1">C140/E140*100</f>
        <v>4.47153097921846</v>
      </c>
      <c r="H140" s="71">
        <f t="shared" ref="H140:H150" si="2">D140/E140*100</f>
        <v>1.89809562887693</v>
      </c>
    </row>
    <row r="141" spans="1:8">
      <c r="A141" s="2" t="s">
        <v>21</v>
      </c>
      <c r="B141" s="2" t="s">
        <v>59</v>
      </c>
      <c r="C141" s="2">
        <v>9956</v>
      </c>
      <c r="D141" s="2">
        <v>2425</v>
      </c>
      <c r="E141" s="2">
        <v>200445</v>
      </c>
      <c r="F141" s="2">
        <v>67</v>
      </c>
      <c r="G141" s="71">
        <f t="shared" si="1"/>
        <v>4.96694853949961</v>
      </c>
      <c r="H141" s="71">
        <f t="shared" si="2"/>
        <v>1.20980817680661</v>
      </c>
    </row>
    <row r="142" spans="1:8">
      <c r="A142" s="2" t="s">
        <v>22</v>
      </c>
      <c r="B142" s="2" t="s">
        <v>59</v>
      </c>
      <c r="C142" s="2">
        <v>11396</v>
      </c>
      <c r="D142" s="2">
        <v>3780</v>
      </c>
      <c r="E142" s="2">
        <v>215838</v>
      </c>
      <c r="F142" s="2">
        <v>170</v>
      </c>
      <c r="G142" s="71">
        <f t="shared" si="1"/>
        <v>5.27988584030616</v>
      </c>
      <c r="H142" s="71">
        <f t="shared" si="2"/>
        <v>1.75131348511384</v>
      </c>
    </row>
    <row r="143" spans="1:8">
      <c r="A143" s="2" t="s">
        <v>23</v>
      </c>
      <c r="B143" s="2" t="s">
        <v>59</v>
      </c>
      <c r="C143" s="2">
        <v>11731</v>
      </c>
      <c r="D143" s="2">
        <v>3031</v>
      </c>
      <c r="E143" s="2">
        <v>240097</v>
      </c>
      <c r="F143" s="2">
        <v>147</v>
      </c>
      <c r="G143" s="71">
        <f t="shared" si="1"/>
        <v>4.88594193180256</v>
      </c>
      <c r="H143" s="71">
        <f t="shared" si="2"/>
        <v>1.26240644406219</v>
      </c>
    </row>
    <row r="144" spans="1:8">
      <c r="A144" s="2" t="s">
        <v>24</v>
      </c>
      <c r="B144" s="2" t="s">
        <v>59</v>
      </c>
      <c r="C144" s="2">
        <v>8626</v>
      </c>
      <c r="D144" s="2">
        <v>3185</v>
      </c>
      <c r="E144" s="2">
        <v>187120</v>
      </c>
      <c r="F144" s="2">
        <v>61</v>
      </c>
      <c r="G144" s="71">
        <f t="shared" si="1"/>
        <v>4.60987601539119</v>
      </c>
      <c r="H144" s="71">
        <f t="shared" si="2"/>
        <v>1.7021162890124</v>
      </c>
    </row>
    <row r="145" spans="1:8">
      <c r="A145" s="2" t="s">
        <v>25</v>
      </c>
      <c r="B145" s="2" t="s">
        <v>59</v>
      </c>
      <c r="C145" s="2">
        <v>11152</v>
      </c>
      <c r="D145" s="2">
        <v>4678</v>
      </c>
      <c r="E145" s="2">
        <v>234363</v>
      </c>
      <c r="F145" s="2">
        <v>118</v>
      </c>
      <c r="G145" s="71">
        <f t="shared" si="1"/>
        <v>4.75843029829794</v>
      </c>
      <c r="H145" s="71">
        <f t="shared" si="2"/>
        <v>1.99604886436852</v>
      </c>
    </row>
    <row r="146" spans="1:8">
      <c r="A146" s="2" t="s">
        <v>26</v>
      </c>
      <c r="B146" s="2" t="s">
        <v>59</v>
      </c>
      <c r="C146" s="2">
        <v>11240</v>
      </c>
      <c r="D146" s="2">
        <v>3640</v>
      </c>
      <c r="E146" s="2">
        <v>191435</v>
      </c>
      <c r="F146" s="2">
        <v>249</v>
      </c>
      <c r="G146" s="71">
        <f t="shared" si="1"/>
        <v>5.87144461566589</v>
      </c>
      <c r="H146" s="71">
        <f t="shared" si="2"/>
        <v>1.90142868336511</v>
      </c>
    </row>
    <row r="147" spans="1:8">
      <c r="A147" s="2" t="s">
        <v>27</v>
      </c>
      <c r="B147" s="2" t="s">
        <v>59</v>
      </c>
      <c r="C147" s="2">
        <v>8071</v>
      </c>
      <c r="D147" s="2">
        <v>3568</v>
      </c>
      <c r="E147" s="2">
        <v>245086</v>
      </c>
      <c r="F147" s="2">
        <v>132</v>
      </c>
      <c r="G147" s="71">
        <f t="shared" si="1"/>
        <v>3.29312975853374</v>
      </c>
      <c r="H147" s="71">
        <f t="shared" si="2"/>
        <v>1.45581550965783</v>
      </c>
    </row>
    <row r="148" spans="1:8">
      <c r="A148" s="2" t="s">
        <v>28</v>
      </c>
      <c r="B148" s="2" t="s">
        <v>59</v>
      </c>
      <c r="C148" s="2">
        <v>10071</v>
      </c>
      <c r="D148" s="2">
        <v>5408</v>
      </c>
      <c r="E148" s="2">
        <v>277872</v>
      </c>
      <c r="F148" s="2">
        <v>1044</v>
      </c>
      <c r="G148" s="71">
        <f t="shared" si="1"/>
        <v>3.6243306270513</v>
      </c>
      <c r="H148" s="71">
        <f t="shared" si="2"/>
        <v>1.94621984222952</v>
      </c>
    </row>
    <row r="149" spans="1:8">
      <c r="A149" s="2" t="s">
        <v>29</v>
      </c>
      <c r="B149" s="2" t="s">
        <v>59</v>
      </c>
      <c r="C149" s="2">
        <v>9591</v>
      </c>
      <c r="D149" s="2">
        <v>5617</v>
      </c>
      <c r="E149" s="2">
        <v>234939</v>
      </c>
      <c r="F149" s="2"/>
      <c r="G149" s="71">
        <f t="shared" si="1"/>
        <v>4.08233626600947</v>
      </c>
      <c r="H149" s="71">
        <f t="shared" si="2"/>
        <v>2.39083336525651</v>
      </c>
    </row>
    <row r="150" spans="1:8">
      <c r="A150" s="72" t="s">
        <v>30</v>
      </c>
      <c r="B150" s="2" t="s">
        <v>59</v>
      </c>
      <c r="C150" s="38">
        <v>9455</v>
      </c>
      <c r="D150" s="38">
        <v>5440</v>
      </c>
      <c r="E150" s="38">
        <v>283731</v>
      </c>
      <c r="F150" s="73"/>
      <c r="G150" s="71">
        <f t="shared" si="1"/>
        <v>3.33238172776327</v>
      </c>
      <c r="H150" s="71">
        <f t="shared" si="2"/>
        <v>1.91730900042646</v>
      </c>
    </row>
    <row r="151" spans="2:8">
      <c r="B151" s="74"/>
      <c r="C151" s="75">
        <f t="shared" ref="C151:H151" si="3">AVERAGE(C140:C150)</f>
        <v>10050.1818181818</v>
      </c>
      <c r="D151" s="75">
        <f t="shared" si="3"/>
        <v>4064</v>
      </c>
      <c r="E151" s="75">
        <f t="shared" si="3"/>
        <v>228916.454545455</v>
      </c>
      <c r="F151" s="75">
        <f t="shared" si="3"/>
        <v>230.888888888889</v>
      </c>
      <c r="G151" s="40">
        <f t="shared" si="3"/>
        <v>4.47056696359451</v>
      </c>
      <c r="H151" s="40">
        <f t="shared" si="3"/>
        <v>1.76649048083417</v>
      </c>
    </row>
    <row r="153" spans="1:8">
      <c r="A153" s="2" t="s">
        <v>103</v>
      </c>
      <c r="B153" s="2"/>
      <c r="C153" s="2"/>
      <c r="D153" s="2"/>
      <c r="E153" s="2"/>
      <c r="F153" s="2"/>
      <c r="G153" s="2"/>
      <c r="H153" s="2"/>
    </row>
    <row r="154" ht="30" spans="1:8">
      <c r="A154" s="68" t="s">
        <v>1</v>
      </c>
      <c r="B154" s="68" t="s">
        <v>55</v>
      </c>
      <c r="C154" s="68" t="s">
        <v>98</v>
      </c>
      <c r="D154" s="68" t="s">
        <v>99</v>
      </c>
      <c r="E154" s="69" t="s">
        <v>100</v>
      </c>
      <c r="F154" s="69" t="s">
        <v>101</v>
      </c>
      <c r="G154" s="70" t="s">
        <v>102</v>
      </c>
      <c r="H154" s="70" t="s">
        <v>67</v>
      </c>
    </row>
    <row r="155" spans="1:8">
      <c r="A155" s="2" t="s">
        <v>20</v>
      </c>
      <c r="B155" s="2" t="s">
        <v>60</v>
      </c>
      <c r="C155" s="2">
        <v>231</v>
      </c>
      <c r="D155" s="2">
        <v>366</v>
      </c>
      <c r="E155" s="2">
        <v>71174</v>
      </c>
      <c r="F155" s="2">
        <v>10</v>
      </c>
      <c r="G155" s="71">
        <f t="shared" ref="G155:G165" si="4">C155/E155*100</f>
        <v>0.324556720150617</v>
      </c>
      <c r="H155" s="71">
        <f t="shared" ref="H155:H165" si="5">D155/E155*100</f>
        <v>0.514232725433445</v>
      </c>
    </row>
    <row r="156" spans="1:8">
      <c r="A156" s="2" t="s">
        <v>21</v>
      </c>
      <c r="B156" s="2" t="s">
        <v>60</v>
      </c>
      <c r="C156" s="2">
        <v>209</v>
      </c>
      <c r="D156" s="2">
        <v>280</v>
      </c>
      <c r="E156" s="2">
        <v>136227</v>
      </c>
      <c r="F156" s="2">
        <v>6</v>
      </c>
      <c r="G156" s="71">
        <f t="shared" si="4"/>
        <v>0.153420393901356</v>
      </c>
      <c r="H156" s="71">
        <f t="shared" si="5"/>
        <v>0.205539283695596</v>
      </c>
    </row>
    <row r="157" spans="1:8">
      <c r="A157" s="2" t="s">
        <v>22</v>
      </c>
      <c r="B157" s="2" t="s">
        <v>60</v>
      </c>
      <c r="C157" s="2">
        <v>215</v>
      </c>
      <c r="D157" s="2">
        <v>495</v>
      </c>
      <c r="E157" s="2">
        <v>80553</v>
      </c>
      <c r="F157" s="2">
        <v>12</v>
      </c>
      <c r="G157" s="71">
        <f t="shared" si="4"/>
        <v>0.266905019055777</v>
      </c>
      <c r="H157" s="71">
        <f t="shared" si="5"/>
        <v>0.614502253174928</v>
      </c>
    </row>
    <row r="158" spans="1:8">
      <c r="A158" s="2" t="s">
        <v>23</v>
      </c>
      <c r="B158" s="2" t="s">
        <v>60</v>
      </c>
      <c r="C158" s="2">
        <v>758</v>
      </c>
      <c r="D158" s="2">
        <v>323</v>
      </c>
      <c r="E158" s="2">
        <v>87276</v>
      </c>
      <c r="F158" s="2">
        <v>26</v>
      </c>
      <c r="G158" s="71">
        <f t="shared" si="4"/>
        <v>0.868509097575508</v>
      </c>
      <c r="H158" s="71">
        <f t="shared" si="5"/>
        <v>0.370090288280856</v>
      </c>
    </row>
    <row r="159" spans="1:8">
      <c r="A159" s="2" t="s">
        <v>24</v>
      </c>
      <c r="B159" s="2" t="s">
        <v>60</v>
      </c>
      <c r="C159" s="2">
        <v>851</v>
      </c>
      <c r="D159" s="2">
        <v>148</v>
      </c>
      <c r="E159" s="2">
        <v>42055</v>
      </c>
      <c r="F159" s="2">
        <v>9</v>
      </c>
      <c r="G159" s="71">
        <f t="shared" si="4"/>
        <v>2.02354060159315</v>
      </c>
      <c r="H159" s="71">
        <f t="shared" si="5"/>
        <v>0.351920104624896</v>
      </c>
    </row>
    <row r="160" spans="1:8">
      <c r="A160" s="2" t="s">
        <v>25</v>
      </c>
      <c r="B160" s="2" t="s">
        <v>60</v>
      </c>
      <c r="C160" s="2">
        <v>827</v>
      </c>
      <c r="D160" s="2">
        <v>467</v>
      </c>
      <c r="E160" s="2">
        <v>80633</v>
      </c>
      <c r="F160" s="2">
        <v>22</v>
      </c>
      <c r="G160" s="71">
        <f t="shared" si="4"/>
        <v>1.02563466570759</v>
      </c>
      <c r="H160" s="71">
        <f t="shared" si="5"/>
        <v>0.579167338434636</v>
      </c>
    </row>
    <row r="161" spans="1:8">
      <c r="A161" s="2" t="s">
        <v>26</v>
      </c>
      <c r="B161" s="2" t="s">
        <v>60</v>
      </c>
      <c r="C161" s="2">
        <v>742</v>
      </c>
      <c r="D161" s="2">
        <v>105</v>
      </c>
      <c r="E161" s="2">
        <v>69310</v>
      </c>
      <c r="F161" s="2">
        <v>14</v>
      </c>
      <c r="G161" s="71">
        <f t="shared" si="4"/>
        <v>1.07055258981388</v>
      </c>
      <c r="H161" s="71">
        <f t="shared" si="5"/>
        <v>0.151493291011398</v>
      </c>
    </row>
    <row r="162" spans="1:8">
      <c r="A162" s="2" t="s">
        <v>27</v>
      </c>
      <c r="B162" s="2" t="s">
        <v>60</v>
      </c>
      <c r="C162" s="2">
        <v>430</v>
      </c>
      <c r="D162" s="2">
        <v>149</v>
      </c>
      <c r="E162" s="2">
        <v>66897</v>
      </c>
      <c r="F162" s="2">
        <v>39</v>
      </c>
      <c r="G162" s="71">
        <f t="shared" si="4"/>
        <v>0.642779197871355</v>
      </c>
      <c r="H162" s="71">
        <f t="shared" si="5"/>
        <v>0.222730466239144</v>
      </c>
    </row>
    <row r="163" spans="1:8">
      <c r="A163" s="2" t="s">
        <v>28</v>
      </c>
      <c r="B163" s="2" t="s">
        <v>60</v>
      </c>
      <c r="C163" s="2">
        <v>668</v>
      </c>
      <c r="D163" s="2">
        <v>253</v>
      </c>
      <c r="E163" s="2">
        <v>86431</v>
      </c>
      <c r="F163" s="2">
        <v>46</v>
      </c>
      <c r="G163" s="71">
        <f t="shared" si="4"/>
        <v>0.772870844951464</v>
      </c>
      <c r="H163" s="71">
        <f t="shared" si="5"/>
        <v>0.292719047563953</v>
      </c>
    </row>
    <row r="164" spans="1:8">
      <c r="A164" s="2" t="s">
        <v>29</v>
      </c>
      <c r="B164" s="2" t="s">
        <v>60</v>
      </c>
      <c r="C164" s="2">
        <v>936</v>
      </c>
      <c r="D164" s="2">
        <v>287</v>
      </c>
      <c r="E164" s="2">
        <v>75144</v>
      </c>
      <c r="F164" s="2"/>
      <c r="G164" s="71">
        <f t="shared" si="4"/>
        <v>1.24560843181092</v>
      </c>
      <c r="H164" s="71">
        <f t="shared" si="5"/>
        <v>0.381933354625785</v>
      </c>
    </row>
    <row r="165" spans="1:8">
      <c r="A165" s="73" t="s">
        <v>30</v>
      </c>
      <c r="B165" s="2"/>
      <c r="C165" s="38">
        <v>507</v>
      </c>
      <c r="D165" s="38">
        <v>123</v>
      </c>
      <c r="E165" s="38">
        <v>91991</v>
      </c>
      <c r="F165" s="73"/>
      <c r="G165" s="71">
        <f t="shared" si="4"/>
        <v>0.551140872476655</v>
      </c>
      <c r="H165" s="71">
        <f t="shared" si="5"/>
        <v>0.133708732375993</v>
      </c>
    </row>
    <row r="166" spans="1:8">
      <c r="A166" s="74"/>
      <c r="C166" s="75">
        <f t="shared" ref="C166:H166" si="6">AVERAGE(C155:C165)</f>
        <v>579.454545454545</v>
      </c>
      <c r="D166" s="75">
        <f t="shared" si="6"/>
        <v>272.363636363636</v>
      </c>
      <c r="E166" s="75">
        <f t="shared" si="6"/>
        <v>80699.1818181818</v>
      </c>
      <c r="F166" s="75">
        <f t="shared" si="6"/>
        <v>20.4444444444444</v>
      </c>
      <c r="G166" s="40">
        <f t="shared" si="6"/>
        <v>0.813228948628025</v>
      </c>
      <c r="H166" s="40">
        <f t="shared" si="6"/>
        <v>0.347094262314603</v>
      </c>
    </row>
    <row r="168" spans="1:8">
      <c r="A168" s="2" t="s">
        <v>104</v>
      </c>
      <c r="B168" s="2"/>
      <c r="C168" s="2"/>
      <c r="D168" s="2"/>
      <c r="E168" s="2"/>
      <c r="F168" s="2"/>
      <c r="G168" s="2"/>
      <c r="H168" s="2"/>
    </row>
    <row r="169" ht="30" spans="1:8">
      <c r="A169" s="68" t="s">
        <v>1</v>
      </c>
      <c r="B169" s="68" t="s">
        <v>55</v>
      </c>
      <c r="C169" s="68" t="s">
        <v>98</v>
      </c>
      <c r="D169" s="68" t="s">
        <v>99</v>
      </c>
      <c r="E169" s="69" t="s">
        <v>100</v>
      </c>
      <c r="F169" s="69" t="s">
        <v>101</v>
      </c>
      <c r="G169" s="70" t="s">
        <v>83</v>
      </c>
      <c r="H169" s="70" t="s">
        <v>105</v>
      </c>
    </row>
    <row r="170" spans="1:8">
      <c r="A170" s="2" t="s">
        <v>20</v>
      </c>
      <c r="B170" s="2" t="s">
        <v>61</v>
      </c>
      <c r="C170" s="2"/>
      <c r="D170" s="2">
        <v>280</v>
      </c>
      <c r="E170" s="2">
        <v>480552</v>
      </c>
      <c r="F170" s="2">
        <v>93</v>
      </c>
      <c r="G170" s="71">
        <f t="shared" ref="G170:G180" si="7">C170/E170*100</f>
        <v>0</v>
      </c>
      <c r="H170" s="71">
        <f t="shared" ref="H170:H180" si="8">D170/E170*100</f>
        <v>0.0582663270572175</v>
      </c>
    </row>
    <row r="171" spans="1:8">
      <c r="A171" s="2" t="s">
        <v>21</v>
      </c>
      <c r="B171" s="2" t="s">
        <v>61</v>
      </c>
      <c r="C171" s="2"/>
      <c r="D171" s="2">
        <v>91</v>
      </c>
      <c r="E171" s="2">
        <v>286513</v>
      </c>
      <c r="F171" s="2">
        <v>0</v>
      </c>
      <c r="G171" s="71">
        <f t="shared" si="7"/>
        <v>0</v>
      </c>
      <c r="H171" s="71">
        <f t="shared" si="8"/>
        <v>0.031761211533159</v>
      </c>
    </row>
    <row r="172" spans="1:8">
      <c r="A172" s="2" t="s">
        <v>22</v>
      </c>
      <c r="B172" s="2" t="s">
        <v>61</v>
      </c>
      <c r="C172" s="2"/>
      <c r="D172" s="2">
        <v>403</v>
      </c>
      <c r="E172" s="2">
        <v>642281</v>
      </c>
      <c r="F172" s="2">
        <v>66</v>
      </c>
      <c r="G172" s="71">
        <f t="shared" si="7"/>
        <v>0</v>
      </c>
      <c r="H172" s="71">
        <f t="shared" si="8"/>
        <v>0.0627451224619754</v>
      </c>
    </row>
    <row r="173" spans="1:8">
      <c r="A173" s="2" t="s">
        <v>23</v>
      </c>
      <c r="B173" s="2" t="s">
        <v>61</v>
      </c>
      <c r="C173" s="2">
        <v>564</v>
      </c>
      <c r="D173" s="2">
        <v>695</v>
      </c>
      <c r="E173" s="2">
        <v>566605</v>
      </c>
      <c r="F173" s="2">
        <v>37</v>
      </c>
      <c r="G173" s="71">
        <f t="shared" si="7"/>
        <v>0.0995402440853858</v>
      </c>
      <c r="H173" s="71">
        <f t="shared" si="8"/>
        <v>0.122660407161956</v>
      </c>
    </row>
    <row r="174" spans="1:8">
      <c r="A174" s="2" t="s">
        <v>24</v>
      </c>
      <c r="B174" s="2" t="s">
        <v>61</v>
      </c>
      <c r="C174" s="2"/>
      <c r="D174" s="2">
        <v>267</v>
      </c>
      <c r="E174" s="2">
        <v>487003</v>
      </c>
      <c r="F174" s="2">
        <v>12</v>
      </c>
      <c r="G174" s="71">
        <f t="shared" si="7"/>
        <v>0</v>
      </c>
      <c r="H174" s="71">
        <f t="shared" si="8"/>
        <v>0.0548251242805486</v>
      </c>
    </row>
    <row r="175" spans="1:8">
      <c r="A175" s="2" t="s">
        <v>25</v>
      </c>
      <c r="B175" s="2" t="s">
        <v>61</v>
      </c>
      <c r="C175" s="2">
        <v>627</v>
      </c>
      <c r="D175" s="2">
        <v>342</v>
      </c>
      <c r="E175" s="2">
        <v>703859</v>
      </c>
      <c r="F175" s="2">
        <v>118</v>
      </c>
      <c r="G175" s="71">
        <f t="shared" si="7"/>
        <v>0.0890803413751902</v>
      </c>
      <c r="H175" s="71">
        <f t="shared" si="8"/>
        <v>0.0485892771137401</v>
      </c>
    </row>
    <row r="176" spans="1:8">
      <c r="A176" s="2" t="s">
        <v>26</v>
      </c>
      <c r="B176" s="2" t="s">
        <v>61</v>
      </c>
      <c r="C176" s="2">
        <v>1600</v>
      </c>
      <c r="D176" s="2">
        <v>323</v>
      </c>
      <c r="E176" s="2">
        <v>480263</v>
      </c>
      <c r="F176" s="2">
        <v>145</v>
      </c>
      <c r="G176" s="71">
        <f t="shared" si="7"/>
        <v>0.333150794460535</v>
      </c>
      <c r="H176" s="71">
        <f t="shared" si="8"/>
        <v>0.0672548166317205</v>
      </c>
    </row>
    <row r="177" spans="1:8">
      <c r="A177" s="2" t="s">
        <v>27</v>
      </c>
      <c r="B177" s="2" t="s">
        <v>61</v>
      </c>
      <c r="C177" s="2">
        <v>3319</v>
      </c>
      <c r="D177" s="2">
        <v>414</v>
      </c>
      <c r="E177" s="2">
        <v>444696</v>
      </c>
      <c r="F177" s="2">
        <v>18</v>
      </c>
      <c r="G177" s="71">
        <f t="shared" si="7"/>
        <v>0.746352564448522</v>
      </c>
      <c r="H177" s="71">
        <f t="shared" si="8"/>
        <v>0.0930973069242809</v>
      </c>
    </row>
    <row r="178" spans="1:8">
      <c r="A178" s="2" t="s">
        <v>28</v>
      </c>
      <c r="B178" s="2" t="s">
        <v>61</v>
      </c>
      <c r="C178" s="2">
        <v>200</v>
      </c>
      <c r="D178" s="2">
        <v>263</v>
      </c>
      <c r="E178" s="2">
        <v>690073</v>
      </c>
      <c r="F178" s="2">
        <v>7</v>
      </c>
      <c r="G178" s="71">
        <f t="shared" si="7"/>
        <v>0.0289824409881273</v>
      </c>
      <c r="H178" s="71">
        <f t="shared" si="8"/>
        <v>0.0381119098993875</v>
      </c>
    </row>
    <row r="179" spans="1:8">
      <c r="A179" s="2" t="s">
        <v>29</v>
      </c>
      <c r="B179" s="2" t="s">
        <v>61</v>
      </c>
      <c r="C179" s="2"/>
      <c r="D179" s="2">
        <v>316</v>
      </c>
      <c r="E179" s="2">
        <v>435098</v>
      </c>
      <c r="F179" s="2"/>
      <c r="G179" s="71">
        <f t="shared" si="7"/>
        <v>0</v>
      </c>
      <c r="H179" s="71">
        <f t="shared" si="8"/>
        <v>0.0726273161448685</v>
      </c>
    </row>
    <row r="180" spans="1:8">
      <c r="A180" s="73" t="s">
        <v>30</v>
      </c>
      <c r="B180" s="2"/>
      <c r="C180" s="38">
        <v>5630</v>
      </c>
      <c r="D180" s="38">
        <v>597</v>
      </c>
      <c r="E180" s="38">
        <v>584932</v>
      </c>
      <c r="F180" s="73"/>
      <c r="G180" s="71">
        <f t="shared" si="7"/>
        <v>0.962505043321275</v>
      </c>
      <c r="H180" s="71">
        <f t="shared" si="8"/>
        <v>0.102063145801563</v>
      </c>
    </row>
    <row r="181" spans="1:8">
      <c r="A181" s="74"/>
      <c r="C181" s="75">
        <f t="shared" ref="C181:H181" si="9">AVERAGE(C170:C180)</f>
        <v>1990</v>
      </c>
      <c r="D181" s="75">
        <f t="shared" si="9"/>
        <v>362.818181818182</v>
      </c>
      <c r="E181" s="75">
        <f t="shared" si="9"/>
        <v>527443.181818182</v>
      </c>
      <c r="F181" s="75">
        <f t="shared" si="9"/>
        <v>55.1111111111111</v>
      </c>
      <c r="G181" s="40">
        <f t="shared" si="9"/>
        <v>0.205419220789003</v>
      </c>
      <c r="H181" s="40">
        <f t="shared" si="9"/>
        <v>0.068363815000947</v>
      </c>
    </row>
    <row r="183" spans="1:8">
      <c r="A183" s="2" t="s">
        <v>106</v>
      </c>
      <c r="B183" s="2"/>
      <c r="C183" s="2"/>
      <c r="D183" s="2"/>
      <c r="E183" s="2"/>
      <c r="F183" s="2"/>
      <c r="G183" s="2"/>
      <c r="H183" s="2"/>
    </row>
    <row r="184" ht="30" spans="1:8">
      <c r="A184" s="68" t="s">
        <v>1</v>
      </c>
      <c r="B184" s="68" t="s">
        <v>55</v>
      </c>
      <c r="C184" s="68" t="s">
        <v>98</v>
      </c>
      <c r="D184" s="68" t="s">
        <v>99</v>
      </c>
      <c r="E184" s="69" t="s">
        <v>107</v>
      </c>
      <c r="F184" s="69" t="s">
        <v>108</v>
      </c>
      <c r="G184" s="70" t="s">
        <v>102</v>
      </c>
      <c r="H184" s="70" t="s">
        <v>67</v>
      </c>
    </row>
    <row r="185" spans="1:8">
      <c r="A185" s="2" t="s">
        <v>20</v>
      </c>
      <c r="B185" s="2" t="s">
        <v>62</v>
      </c>
      <c r="C185" s="2"/>
      <c r="D185" s="2">
        <v>142</v>
      </c>
      <c r="E185" s="2">
        <v>258529</v>
      </c>
      <c r="F185" s="2">
        <v>35</v>
      </c>
      <c r="G185" s="71">
        <f t="shared" ref="G185:G195" si="10">C185/E185*100</f>
        <v>0</v>
      </c>
      <c r="H185" s="71">
        <f t="shared" ref="H185:H195" si="11">D185/E185*100</f>
        <v>0.0549261398141021</v>
      </c>
    </row>
    <row r="186" spans="1:8">
      <c r="A186" s="2" t="s">
        <v>21</v>
      </c>
      <c r="B186" s="2" t="s">
        <v>62</v>
      </c>
      <c r="C186" s="2"/>
      <c r="D186" s="2">
        <v>146</v>
      </c>
      <c r="E186" s="2">
        <v>314585</v>
      </c>
      <c r="F186" s="2">
        <v>4</v>
      </c>
      <c r="G186" s="71">
        <f t="shared" si="10"/>
        <v>0</v>
      </c>
      <c r="H186" s="71">
        <f t="shared" si="11"/>
        <v>0.0464103501438403</v>
      </c>
    </row>
    <row r="187" spans="1:8">
      <c r="A187" s="2" t="s">
        <v>22</v>
      </c>
      <c r="B187" s="2" t="s">
        <v>62</v>
      </c>
      <c r="C187" s="2">
        <v>2004</v>
      </c>
      <c r="D187" s="2">
        <v>41</v>
      </c>
      <c r="E187" s="2">
        <v>328025</v>
      </c>
      <c r="F187" s="2">
        <v>0</v>
      </c>
      <c r="G187" s="71">
        <f t="shared" si="10"/>
        <v>0.610929045042299</v>
      </c>
      <c r="H187" s="71">
        <f t="shared" si="11"/>
        <v>0.0124990473287097</v>
      </c>
    </row>
    <row r="188" spans="1:8">
      <c r="A188" s="2" t="s">
        <v>23</v>
      </c>
      <c r="B188" s="2" t="s">
        <v>62</v>
      </c>
      <c r="C188" s="2"/>
      <c r="D188" s="2">
        <v>80</v>
      </c>
      <c r="E188" s="2">
        <v>286777</v>
      </c>
      <c r="F188" s="2">
        <v>26</v>
      </c>
      <c r="G188" s="71">
        <f t="shared" si="10"/>
        <v>0</v>
      </c>
      <c r="H188" s="71">
        <f t="shared" si="11"/>
        <v>0.0278962399355597</v>
      </c>
    </row>
    <row r="189" spans="1:8">
      <c r="A189" s="2" t="s">
        <v>24</v>
      </c>
      <c r="B189" s="2" t="s">
        <v>62</v>
      </c>
      <c r="C189" s="2"/>
      <c r="D189" s="2">
        <v>38</v>
      </c>
      <c r="E189" s="2">
        <v>161545</v>
      </c>
      <c r="F189" s="2">
        <v>13</v>
      </c>
      <c r="G189" s="71">
        <f t="shared" si="10"/>
        <v>0</v>
      </c>
      <c r="H189" s="71">
        <f t="shared" si="11"/>
        <v>0.0235228574081525</v>
      </c>
    </row>
    <row r="190" spans="1:8">
      <c r="A190" s="2" t="s">
        <v>25</v>
      </c>
      <c r="B190" s="2" t="s">
        <v>62</v>
      </c>
      <c r="C190" s="2">
        <v>8</v>
      </c>
      <c r="D190" s="2">
        <v>171</v>
      </c>
      <c r="E190" s="2">
        <v>376773</v>
      </c>
      <c r="F190" s="2">
        <v>46</v>
      </c>
      <c r="G190" s="71">
        <f t="shared" si="10"/>
        <v>0.00212329439742232</v>
      </c>
      <c r="H190" s="71">
        <f t="shared" si="11"/>
        <v>0.0453854177449021</v>
      </c>
    </row>
    <row r="191" spans="1:8">
      <c r="A191" s="2" t="s">
        <v>26</v>
      </c>
      <c r="B191" s="2" t="s">
        <v>62</v>
      </c>
      <c r="C191" s="2"/>
      <c r="D191" s="2">
        <v>480</v>
      </c>
      <c r="E191" s="2">
        <v>352767</v>
      </c>
      <c r="F191" s="2">
        <v>19</v>
      </c>
      <c r="G191" s="71">
        <f t="shared" si="10"/>
        <v>0</v>
      </c>
      <c r="H191" s="71">
        <f t="shared" si="11"/>
        <v>0.1360671491381</v>
      </c>
    </row>
    <row r="192" spans="1:8">
      <c r="A192" s="2" t="s">
        <v>27</v>
      </c>
      <c r="B192" s="2" t="s">
        <v>62</v>
      </c>
      <c r="C192" s="2"/>
      <c r="D192" s="2">
        <v>76</v>
      </c>
      <c r="E192" s="2">
        <v>392197</v>
      </c>
      <c r="F192" s="2">
        <v>245</v>
      </c>
      <c r="G192" s="71">
        <f t="shared" si="10"/>
        <v>0</v>
      </c>
      <c r="H192" s="71">
        <f t="shared" si="11"/>
        <v>0.0193780166599948</v>
      </c>
    </row>
    <row r="193" spans="1:8">
      <c r="A193" s="2" t="s">
        <v>28</v>
      </c>
      <c r="B193" s="2" t="s">
        <v>62</v>
      </c>
      <c r="C193" s="2"/>
      <c r="D193" s="2">
        <v>48</v>
      </c>
      <c r="E193" s="2">
        <v>394838</v>
      </c>
      <c r="F193" s="2">
        <v>15</v>
      </c>
      <c r="G193" s="71">
        <f t="shared" si="10"/>
        <v>0</v>
      </c>
      <c r="H193" s="71">
        <f t="shared" si="11"/>
        <v>0.0121568845957076</v>
      </c>
    </row>
    <row r="194" spans="1:8">
      <c r="A194" s="2" t="s">
        <v>29</v>
      </c>
      <c r="B194" s="2" t="s">
        <v>62</v>
      </c>
      <c r="C194" s="2"/>
      <c r="D194" s="2">
        <v>193</v>
      </c>
      <c r="E194" s="2">
        <v>392272</v>
      </c>
      <c r="F194" s="2"/>
      <c r="G194" s="71">
        <f t="shared" si="10"/>
        <v>0</v>
      </c>
      <c r="H194" s="71">
        <f t="shared" si="11"/>
        <v>0.049200554717135</v>
      </c>
    </row>
    <row r="195" spans="1:8">
      <c r="A195" s="73" t="s">
        <v>30</v>
      </c>
      <c r="B195" s="2" t="s">
        <v>62</v>
      </c>
      <c r="C195" s="73"/>
      <c r="D195" s="38">
        <v>84</v>
      </c>
      <c r="E195" s="38">
        <v>454175</v>
      </c>
      <c r="F195" s="73"/>
      <c r="G195" s="71">
        <f t="shared" si="10"/>
        <v>0</v>
      </c>
      <c r="H195" s="71">
        <f t="shared" si="11"/>
        <v>0.0184950734848902</v>
      </c>
    </row>
    <row r="196" spans="3:8">
      <c r="C196" s="75">
        <f t="shared" ref="C196:H196" si="12">AVERAGE(C185:C195)</f>
        <v>1006</v>
      </c>
      <c r="D196" s="75">
        <f t="shared" si="12"/>
        <v>136.272727272727</v>
      </c>
      <c r="E196" s="75">
        <f t="shared" si="12"/>
        <v>337498.454545455</v>
      </c>
      <c r="F196" s="75">
        <f t="shared" si="12"/>
        <v>44.7777777777778</v>
      </c>
      <c r="G196" s="40">
        <f t="shared" si="12"/>
        <v>0.0557320308581565</v>
      </c>
      <c r="H196" s="40">
        <f t="shared" si="12"/>
        <v>0.0405397937246449</v>
      </c>
    </row>
    <row r="201" ht="18.75" spans="1:16">
      <c r="A201" s="76" t="s">
        <v>109</v>
      </c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90"/>
      <c r="P201" s="49"/>
    </row>
    <row r="202" ht="90" spans="1:18">
      <c r="A202" s="78" t="s">
        <v>64</v>
      </c>
      <c r="B202" s="78" t="s">
        <v>110</v>
      </c>
      <c r="C202" s="78" t="s">
        <v>111</v>
      </c>
      <c r="D202" s="78" t="s">
        <v>112</v>
      </c>
      <c r="E202" s="78" t="s">
        <v>113</v>
      </c>
      <c r="F202" s="78" t="s">
        <v>114</v>
      </c>
      <c r="G202" s="78" t="s">
        <v>115</v>
      </c>
      <c r="H202" s="78" t="s">
        <v>116</v>
      </c>
      <c r="I202" s="78" t="s">
        <v>117</v>
      </c>
      <c r="J202" s="78" t="s">
        <v>118</v>
      </c>
      <c r="K202" s="78" t="s">
        <v>119</v>
      </c>
      <c r="L202" s="88" t="s">
        <v>120</v>
      </c>
      <c r="M202" s="78" t="s">
        <v>121</v>
      </c>
      <c r="N202" s="88" t="s">
        <v>122</v>
      </c>
      <c r="O202" s="88" t="s">
        <v>123</v>
      </c>
      <c r="P202" s="88" t="s">
        <v>124</v>
      </c>
      <c r="Q202" s="88" t="s">
        <v>125</v>
      </c>
      <c r="R202" s="88" t="s">
        <v>126</v>
      </c>
    </row>
    <row r="203" spans="1:18">
      <c r="A203" s="53" t="s">
        <v>72</v>
      </c>
      <c r="B203" s="79">
        <v>830</v>
      </c>
      <c r="C203" s="79">
        <v>1920</v>
      </c>
      <c r="D203" s="79">
        <v>75</v>
      </c>
      <c r="E203" s="79">
        <v>600</v>
      </c>
      <c r="F203" s="79">
        <v>60</v>
      </c>
      <c r="G203" s="79"/>
      <c r="H203" s="79"/>
      <c r="I203" s="79">
        <v>110</v>
      </c>
      <c r="J203" s="79">
        <v>80</v>
      </c>
      <c r="K203" s="79"/>
      <c r="L203" s="79">
        <v>20</v>
      </c>
      <c r="M203" s="79"/>
      <c r="N203" s="79">
        <v>1315</v>
      </c>
      <c r="O203" s="79">
        <v>200</v>
      </c>
      <c r="P203" s="79">
        <v>120</v>
      </c>
      <c r="Q203" s="79">
        <v>30</v>
      </c>
      <c r="R203" s="79">
        <v>255</v>
      </c>
    </row>
    <row r="204" spans="1:18">
      <c r="A204" s="53" t="s">
        <v>71</v>
      </c>
      <c r="B204" s="79">
        <v>950</v>
      </c>
      <c r="C204" s="79">
        <v>480</v>
      </c>
      <c r="D204" s="79">
        <v>390</v>
      </c>
      <c r="E204" s="79">
        <v>695</v>
      </c>
      <c r="F204" s="79">
        <v>740</v>
      </c>
      <c r="G204" s="79"/>
      <c r="H204" s="79"/>
      <c r="I204" s="79">
        <v>275</v>
      </c>
      <c r="J204" s="79">
        <v>80</v>
      </c>
      <c r="K204" s="79">
        <v>30</v>
      </c>
      <c r="L204" s="79">
        <v>60</v>
      </c>
      <c r="M204" s="79"/>
      <c r="N204" s="79">
        <v>1175</v>
      </c>
      <c r="O204" s="79">
        <v>255</v>
      </c>
      <c r="P204" s="79">
        <v>20</v>
      </c>
      <c r="Q204" s="79">
        <v>130</v>
      </c>
      <c r="R204" s="79">
        <v>830</v>
      </c>
    </row>
    <row r="205" spans="1:18">
      <c r="A205" s="53" t="s">
        <v>75</v>
      </c>
      <c r="B205" s="79">
        <v>70</v>
      </c>
      <c r="C205" s="79">
        <v>1440</v>
      </c>
      <c r="D205" s="79">
        <v>120</v>
      </c>
      <c r="E205" s="79"/>
      <c r="F205" s="79">
        <v>190</v>
      </c>
      <c r="G205" s="79"/>
      <c r="H205" s="79"/>
      <c r="I205" s="79">
        <v>115</v>
      </c>
      <c r="J205" s="79">
        <v>65</v>
      </c>
      <c r="K205" s="79"/>
      <c r="L205" s="79"/>
      <c r="M205" s="79"/>
      <c r="N205" s="79">
        <v>3930</v>
      </c>
      <c r="O205" s="79">
        <v>155</v>
      </c>
      <c r="P205" s="79"/>
      <c r="Q205" s="79">
        <v>15</v>
      </c>
      <c r="R205" s="79">
        <v>110</v>
      </c>
    </row>
    <row r="206" spans="1:18">
      <c r="A206" s="53" t="s">
        <v>74</v>
      </c>
      <c r="B206" s="79">
        <v>595</v>
      </c>
      <c r="C206" s="79"/>
      <c r="D206" s="79">
        <v>660</v>
      </c>
      <c r="E206" s="79"/>
      <c r="F206" s="79">
        <v>325</v>
      </c>
      <c r="G206" s="79">
        <v>10</v>
      </c>
      <c r="H206" s="79"/>
      <c r="I206" s="79">
        <v>215</v>
      </c>
      <c r="J206" s="79">
        <v>35</v>
      </c>
      <c r="K206" s="79">
        <v>20</v>
      </c>
      <c r="L206" s="79"/>
      <c r="M206" s="79"/>
      <c r="N206" s="79">
        <v>5740</v>
      </c>
      <c r="O206" s="79">
        <v>265</v>
      </c>
      <c r="P206" s="79"/>
      <c r="Q206" s="79">
        <v>40</v>
      </c>
      <c r="R206" s="79">
        <v>30</v>
      </c>
    </row>
    <row r="207" spans="1:18">
      <c r="A207" s="53" t="s">
        <v>79</v>
      </c>
      <c r="B207" s="79">
        <v>165</v>
      </c>
      <c r="C207" s="79">
        <v>2400</v>
      </c>
      <c r="D207" s="79"/>
      <c r="E207" s="79">
        <v>905</v>
      </c>
      <c r="F207" s="79"/>
      <c r="G207" s="79"/>
      <c r="H207" s="79"/>
      <c r="I207" s="79"/>
      <c r="J207" s="79"/>
      <c r="K207" s="79"/>
      <c r="L207" s="79"/>
      <c r="M207" s="79"/>
      <c r="N207" s="79">
        <v>460</v>
      </c>
      <c r="O207" s="79">
        <v>270</v>
      </c>
      <c r="P207" s="79"/>
      <c r="Q207" s="79">
        <v>145</v>
      </c>
      <c r="R207" s="79">
        <v>35</v>
      </c>
    </row>
    <row r="208" spans="1:18">
      <c r="A208" s="53" t="s">
        <v>73</v>
      </c>
      <c r="B208" s="79">
        <v>580</v>
      </c>
      <c r="C208" s="79"/>
      <c r="D208" s="79">
        <v>140</v>
      </c>
      <c r="E208" s="79">
        <v>10</v>
      </c>
      <c r="F208" s="79">
        <v>275</v>
      </c>
      <c r="G208" s="79"/>
      <c r="H208" s="79">
        <v>10</v>
      </c>
      <c r="I208" s="79">
        <v>330</v>
      </c>
      <c r="J208" s="79">
        <v>305</v>
      </c>
      <c r="K208" s="79">
        <v>10</v>
      </c>
      <c r="L208" s="79"/>
      <c r="M208" s="79"/>
      <c r="N208" s="79">
        <v>1485</v>
      </c>
      <c r="O208" s="79">
        <v>365</v>
      </c>
      <c r="P208" s="79"/>
      <c r="Q208" s="79">
        <v>30</v>
      </c>
      <c r="R208" s="79">
        <v>390</v>
      </c>
    </row>
    <row r="209" spans="1:18">
      <c r="A209" s="53" t="s">
        <v>77</v>
      </c>
      <c r="B209" s="79">
        <v>320</v>
      </c>
      <c r="C209" s="79">
        <v>480</v>
      </c>
      <c r="D209" s="79">
        <v>10</v>
      </c>
      <c r="E209" s="79"/>
      <c r="F209" s="79">
        <v>125</v>
      </c>
      <c r="G209" s="79"/>
      <c r="H209" s="79"/>
      <c r="I209" s="79">
        <v>135</v>
      </c>
      <c r="J209" s="79">
        <v>240</v>
      </c>
      <c r="K209" s="79">
        <v>25</v>
      </c>
      <c r="L209" s="79"/>
      <c r="M209" s="79"/>
      <c r="N209" s="79">
        <v>700</v>
      </c>
      <c r="O209" s="79">
        <v>340</v>
      </c>
      <c r="P209" s="79"/>
      <c r="Q209" s="79"/>
      <c r="R209" s="79">
        <v>270</v>
      </c>
    </row>
    <row r="210" spans="1:18">
      <c r="A210" s="53" t="s">
        <v>69</v>
      </c>
      <c r="B210" s="79">
        <v>215</v>
      </c>
      <c r="C210" s="79"/>
      <c r="D210" s="79"/>
      <c r="E210" s="79">
        <v>360</v>
      </c>
      <c r="F210" s="79">
        <v>175</v>
      </c>
      <c r="G210" s="79"/>
      <c r="H210" s="79"/>
      <c r="I210" s="79">
        <v>155</v>
      </c>
      <c r="J210" s="79">
        <v>90</v>
      </c>
      <c r="K210" s="79"/>
      <c r="L210" s="79"/>
      <c r="M210" s="79"/>
      <c r="N210" s="79">
        <v>10755</v>
      </c>
      <c r="O210" s="79">
        <v>245</v>
      </c>
      <c r="P210" s="79">
        <v>3370</v>
      </c>
      <c r="Q210" s="79">
        <v>30</v>
      </c>
      <c r="R210" s="79">
        <v>70</v>
      </c>
    </row>
    <row r="211" spans="1:18">
      <c r="A211" s="53" t="s">
        <v>70</v>
      </c>
      <c r="B211" s="79">
        <v>540</v>
      </c>
      <c r="C211" s="79"/>
      <c r="D211" s="79">
        <v>75</v>
      </c>
      <c r="E211" s="79">
        <v>70</v>
      </c>
      <c r="F211" s="79">
        <v>265</v>
      </c>
      <c r="G211" s="79">
        <v>10</v>
      </c>
      <c r="H211" s="79"/>
      <c r="I211" s="79">
        <v>315</v>
      </c>
      <c r="J211" s="79">
        <v>170</v>
      </c>
      <c r="K211" s="79">
        <v>30</v>
      </c>
      <c r="L211" s="79"/>
      <c r="M211" s="79"/>
      <c r="N211" s="79">
        <v>7410</v>
      </c>
      <c r="O211" s="79">
        <v>290</v>
      </c>
      <c r="P211" s="79">
        <v>90</v>
      </c>
      <c r="Q211" s="79">
        <v>45</v>
      </c>
      <c r="R211" s="79">
        <v>220</v>
      </c>
    </row>
    <row r="212" spans="1:18">
      <c r="A212" s="53" t="s">
        <v>68</v>
      </c>
      <c r="B212" s="48">
        <v>450</v>
      </c>
      <c r="C212" s="48"/>
      <c r="D212" s="48">
        <v>60</v>
      </c>
      <c r="E212" s="48">
        <v>80</v>
      </c>
      <c r="F212" s="48">
        <v>235</v>
      </c>
      <c r="G212" s="48"/>
      <c r="H212" s="48"/>
      <c r="I212" s="48">
        <v>710</v>
      </c>
      <c r="J212" s="48">
        <v>175</v>
      </c>
      <c r="K212" s="48">
        <v>20</v>
      </c>
      <c r="L212" s="48">
        <v>30</v>
      </c>
      <c r="M212" s="48"/>
      <c r="N212" s="48">
        <v>9890</v>
      </c>
      <c r="O212" s="48">
        <v>185</v>
      </c>
      <c r="P212" s="48">
        <v>170</v>
      </c>
      <c r="Q212" s="48">
        <v>10</v>
      </c>
      <c r="R212" s="48">
        <v>140</v>
      </c>
    </row>
    <row r="213" spans="1:18">
      <c r="A213" s="53" t="s">
        <v>76</v>
      </c>
      <c r="B213" s="48">
        <v>115</v>
      </c>
      <c r="C213" s="48">
        <v>3360</v>
      </c>
      <c r="D213" s="48"/>
      <c r="E213" s="48"/>
      <c r="F213" s="48"/>
      <c r="G213" s="48">
        <v>270</v>
      </c>
      <c r="H213" s="48"/>
      <c r="I213" s="48"/>
      <c r="J213" s="48"/>
      <c r="K213" s="48"/>
      <c r="L213" s="48"/>
      <c r="M213" s="48"/>
      <c r="N213" s="48">
        <v>11480</v>
      </c>
      <c r="O213" s="48">
        <v>145</v>
      </c>
      <c r="P213" s="48"/>
      <c r="Q213" s="48">
        <v>755</v>
      </c>
      <c r="R213" s="48"/>
    </row>
    <row r="214" spans="1:18">
      <c r="A214" s="53" t="s">
        <v>78</v>
      </c>
      <c r="B214" s="48">
        <v>685</v>
      </c>
      <c r="C214" s="48">
        <v>1440</v>
      </c>
      <c r="D214" s="48"/>
      <c r="E214" s="48">
        <v>320</v>
      </c>
      <c r="F214" s="48">
        <v>45</v>
      </c>
      <c r="G214" s="48"/>
      <c r="H214" s="48"/>
      <c r="I214" s="48">
        <v>10</v>
      </c>
      <c r="J214" s="48"/>
      <c r="K214" s="48"/>
      <c r="L214" s="48"/>
      <c r="M214" s="48"/>
      <c r="N214" s="48">
        <v>10775</v>
      </c>
      <c r="O214" s="48">
        <v>185</v>
      </c>
      <c r="P214" s="48"/>
      <c r="Q214" s="48">
        <v>95</v>
      </c>
      <c r="R214" s="48">
        <v>15</v>
      </c>
    </row>
    <row r="215" spans="1:18">
      <c r="A215" s="53" t="s">
        <v>80</v>
      </c>
      <c r="B215" s="48">
        <f>SUM(B203:B214)</f>
        <v>5515</v>
      </c>
      <c r="C215" s="48">
        <f t="shared" ref="C215:R215" si="13">SUM(C203:C214)</f>
        <v>11520</v>
      </c>
      <c r="D215" s="48">
        <f t="shared" si="13"/>
        <v>1530</v>
      </c>
      <c r="E215" s="48">
        <f t="shared" si="13"/>
        <v>3040</v>
      </c>
      <c r="F215" s="48">
        <f t="shared" si="13"/>
        <v>2435</v>
      </c>
      <c r="G215" s="48">
        <f t="shared" si="13"/>
        <v>290</v>
      </c>
      <c r="H215" s="48">
        <f t="shared" si="13"/>
        <v>10</v>
      </c>
      <c r="I215" s="48">
        <f t="shared" si="13"/>
        <v>2370</v>
      </c>
      <c r="J215" s="48">
        <f t="shared" si="13"/>
        <v>1240</v>
      </c>
      <c r="K215" s="48">
        <f t="shared" si="13"/>
        <v>135</v>
      </c>
      <c r="L215" s="48">
        <f t="shared" si="13"/>
        <v>110</v>
      </c>
      <c r="M215" s="48">
        <f t="shared" si="13"/>
        <v>0</v>
      </c>
      <c r="N215" s="48">
        <f t="shared" si="13"/>
        <v>65115</v>
      </c>
      <c r="O215" s="48">
        <f t="shared" si="13"/>
        <v>2900</v>
      </c>
      <c r="P215" s="48">
        <f t="shared" si="13"/>
        <v>3770</v>
      </c>
      <c r="Q215" s="48">
        <f t="shared" si="13"/>
        <v>1325</v>
      </c>
      <c r="R215" s="48">
        <f t="shared" si="13"/>
        <v>2365</v>
      </c>
    </row>
    <row r="216" spans="1:17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91"/>
      <c r="O216" s="81"/>
      <c r="P216" s="86"/>
      <c r="Q216" s="86"/>
    </row>
    <row r="217" spans="1:17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91"/>
      <c r="O217" s="81"/>
      <c r="P217" s="86"/>
      <c r="Q217" s="86"/>
    </row>
    <row r="218" ht="18.75" spans="1:15">
      <c r="A218" s="76" t="s">
        <v>109</v>
      </c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</row>
    <row r="219" ht="90" spans="1:18">
      <c r="A219" s="78" t="s">
        <v>64</v>
      </c>
      <c r="B219" s="78" t="s">
        <v>110</v>
      </c>
      <c r="C219" s="78" t="s">
        <v>111</v>
      </c>
      <c r="D219" s="78" t="s">
        <v>112</v>
      </c>
      <c r="E219" s="78" t="s">
        <v>113</v>
      </c>
      <c r="F219" s="78" t="s">
        <v>114</v>
      </c>
      <c r="G219" s="78" t="s">
        <v>115</v>
      </c>
      <c r="H219" s="78" t="s">
        <v>116</v>
      </c>
      <c r="I219" s="78" t="s">
        <v>117</v>
      </c>
      <c r="J219" s="78" t="s">
        <v>118</v>
      </c>
      <c r="K219" s="78" t="s">
        <v>119</v>
      </c>
      <c r="L219" s="88" t="s">
        <v>120</v>
      </c>
      <c r="M219" s="78" t="s">
        <v>121</v>
      </c>
      <c r="N219" s="88" t="s">
        <v>122</v>
      </c>
      <c r="O219" s="88" t="s">
        <v>123</v>
      </c>
      <c r="P219" s="88" t="s">
        <v>124</v>
      </c>
      <c r="Q219" s="88" t="s">
        <v>125</v>
      </c>
      <c r="R219" s="88" t="s">
        <v>126</v>
      </c>
    </row>
    <row r="220" spans="1:18">
      <c r="A220" s="53" t="s">
        <v>127</v>
      </c>
      <c r="B220" s="82">
        <v>645</v>
      </c>
      <c r="C220" s="82"/>
      <c r="D220" s="82"/>
      <c r="E220" s="82">
        <v>725</v>
      </c>
      <c r="F220" s="82"/>
      <c r="G220" s="82"/>
      <c r="H220" s="82"/>
      <c r="I220" s="82"/>
      <c r="J220" s="82"/>
      <c r="K220" s="82"/>
      <c r="L220" s="82"/>
      <c r="M220" s="82"/>
      <c r="N220" s="82">
        <v>6125</v>
      </c>
      <c r="O220" s="82">
        <v>160</v>
      </c>
      <c r="P220" s="82">
        <v>90</v>
      </c>
      <c r="Q220" s="82"/>
      <c r="R220" s="82"/>
    </row>
    <row r="221" spans="1:18">
      <c r="A221" s="53" t="s">
        <v>128</v>
      </c>
      <c r="B221" s="82">
        <v>515</v>
      </c>
      <c r="C221" s="82"/>
      <c r="D221" s="82"/>
      <c r="E221" s="82">
        <v>210</v>
      </c>
      <c r="F221" s="82"/>
      <c r="G221" s="82"/>
      <c r="H221" s="82"/>
      <c r="I221" s="82"/>
      <c r="J221" s="82"/>
      <c r="K221" s="82"/>
      <c r="L221" s="82"/>
      <c r="M221" s="82"/>
      <c r="N221" s="82">
        <v>12840</v>
      </c>
      <c r="O221" s="82">
        <v>145</v>
      </c>
      <c r="P221" s="82"/>
      <c r="Q221" s="82"/>
      <c r="R221" s="82">
        <v>60</v>
      </c>
    </row>
    <row r="222" spans="1:18">
      <c r="A222" s="53" t="s">
        <v>129</v>
      </c>
      <c r="B222" s="82">
        <v>135</v>
      </c>
      <c r="C222" s="82"/>
      <c r="D222" s="82"/>
      <c r="E222" s="82">
        <v>655</v>
      </c>
      <c r="F222" s="82"/>
      <c r="G222" s="82"/>
      <c r="H222" s="82"/>
      <c r="I222" s="82"/>
      <c r="J222" s="82"/>
      <c r="K222" s="82"/>
      <c r="L222" s="82"/>
      <c r="M222" s="82"/>
      <c r="N222" s="82">
        <v>9550</v>
      </c>
      <c r="O222" s="82">
        <v>145</v>
      </c>
      <c r="P222" s="82"/>
      <c r="Q222" s="82"/>
      <c r="R222" s="82"/>
    </row>
    <row r="223" spans="1:18">
      <c r="A223" s="53" t="s">
        <v>130</v>
      </c>
      <c r="B223" s="82">
        <v>955</v>
      </c>
      <c r="C223" s="82">
        <v>1920</v>
      </c>
      <c r="D223" s="82"/>
      <c r="E223" s="82">
        <v>1865</v>
      </c>
      <c r="F223" s="82"/>
      <c r="G223" s="82"/>
      <c r="H223" s="82"/>
      <c r="I223" s="82"/>
      <c r="J223" s="82"/>
      <c r="K223" s="82"/>
      <c r="L223" s="82"/>
      <c r="M223" s="82"/>
      <c r="N223" s="82">
        <v>4185</v>
      </c>
      <c r="O223" s="82">
        <v>265</v>
      </c>
      <c r="P223" s="82">
        <v>180</v>
      </c>
      <c r="Q223" s="82">
        <v>30</v>
      </c>
      <c r="R223" s="82">
        <v>25</v>
      </c>
    </row>
    <row r="224" spans="1:18">
      <c r="A224" s="53" t="s">
        <v>131</v>
      </c>
      <c r="B224" s="82">
        <v>90</v>
      </c>
      <c r="C224" s="82">
        <v>7200</v>
      </c>
      <c r="D224" s="82"/>
      <c r="E224" s="82">
        <v>2455</v>
      </c>
      <c r="F224" s="82"/>
      <c r="G224" s="82"/>
      <c r="H224" s="82"/>
      <c r="I224" s="82"/>
      <c r="J224" s="82"/>
      <c r="K224" s="82"/>
      <c r="L224" s="82"/>
      <c r="M224" s="82"/>
      <c r="N224" s="82">
        <v>3230</v>
      </c>
      <c r="O224" s="82">
        <v>140</v>
      </c>
      <c r="P224" s="82"/>
      <c r="Q224" s="82">
        <v>90</v>
      </c>
      <c r="R224" s="82">
        <v>95</v>
      </c>
    </row>
    <row r="225" spans="1:18">
      <c r="A225" s="53" t="s">
        <v>132</v>
      </c>
      <c r="B225" s="82">
        <v>135</v>
      </c>
      <c r="C225" s="82">
        <v>480</v>
      </c>
      <c r="D225" s="82"/>
      <c r="E225" s="82">
        <v>1665</v>
      </c>
      <c r="F225" s="82"/>
      <c r="G225" s="82"/>
      <c r="H225" s="82"/>
      <c r="I225" s="82"/>
      <c r="J225" s="82"/>
      <c r="K225" s="82"/>
      <c r="L225" s="82">
        <v>60</v>
      </c>
      <c r="M225" s="82"/>
      <c r="N225" s="82">
        <v>6220</v>
      </c>
      <c r="O225" s="82">
        <v>115</v>
      </c>
      <c r="P225" s="82"/>
      <c r="Q225" s="82"/>
      <c r="R225" s="82">
        <v>65</v>
      </c>
    </row>
    <row r="226" spans="1:18">
      <c r="A226" s="53" t="s">
        <v>133</v>
      </c>
      <c r="B226" s="82">
        <v>780</v>
      </c>
      <c r="C226" s="82">
        <v>480</v>
      </c>
      <c r="D226" s="82"/>
      <c r="E226" s="82">
        <v>2190</v>
      </c>
      <c r="F226" s="82"/>
      <c r="G226" s="82"/>
      <c r="H226" s="82"/>
      <c r="I226" s="82"/>
      <c r="J226" s="82"/>
      <c r="K226" s="82"/>
      <c r="L226" s="82"/>
      <c r="M226" s="82"/>
      <c r="N226" s="82">
        <v>4580</v>
      </c>
      <c r="O226" s="82">
        <v>280</v>
      </c>
      <c r="P226" s="82"/>
      <c r="Q226" s="82">
        <v>30</v>
      </c>
      <c r="R226" s="82">
        <v>145</v>
      </c>
    </row>
    <row r="227" spans="1:18">
      <c r="A227" s="53" t="s">
        <v>134</v>
      </c>
      <c r="B227" s="82">
        <v>1225</v>
      </c>
      <c r="C227" s="82">
        <v>1920</v>
      </c>
      <c r="D227" s="82"/>
      <c r="E227" s="82">
        <v>4660</v>
      </c>
      <c r="F227" s="82"/>
      <c r="G227" s="82"/>
      <c r="H227" s="82"/>
      <c r="I227" s="82"/>
      <c r="J227" s="82"/>
      <c r="K227" s="82"/>
      <c r="L227" s="82"/>
      <c r="M227" s="82"/>
      <c r="N227" s="82">
        <v>3155</v>
      </c>
      <c r="O227" s="82">
        <v>270</v>
      </c>
      <c r="P227" s="82">
        <v>50</v>
      </c>
      <c r="Q227" s="82"/>
      <c r="R227" s="82">
        <v>410</v>
      </c>
    </row>
    <row r="228" spans="1:18">
      <c r="A228" s="53" t="s">
        <v>135</v>
      </c>
      <c r="B228" s="82">
        <v>1435</v>
      </c>
      <c r="C228" s="82">
        <v>960</v>
      </c>
      <c r="D228" s="82"/>
      <c r="E228" s="82">
        <v>970</v>
      </c>
      <c r="F228" s="82"/>
      <c r="G228" s="82"/>
      <c r="H228" s="82"/>
      <c r="I228" s="82"/>
      <c r="J228" s="82"/>
      <c r="K228" s="82"/>
      <c r="L228" s="82">
        <v>10</v>
      </c>
      <c r="M228" s="82"/>
      <c r="N228" s="82">
        <v>1435</v>
      </c>
      <c r="O228" s="82">
        <v>285</v>
      </c>
      <c r="P228" s="82"/>
      <c r="Q228" s="82"/>
      <c r="R228" s="82">
        <v>315</v>
      </c>
    </row>
    <row r="229" spans="1:18">
      <c r="A229" s="53" t="s">
        <v>136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>
        <v>360</v>
      </c>
      <c r="O229" s="48"/>
      <c r="P229" s="48"/>
      <c r="Q229" s="48"/>
      <c r="R229" s="48"/>
    </row>
    <row r="230" spans="1:18">
      <c r="A230" s="53" t="s">
        <v>80</v>
      </c>
      <c r="B230" s="48">
        <v>5915</v>
      </c>
      <c r="C230" s="48">
        <v>12960</v>
      </c>
      <c r="D230" s="48"/>
      <c r="E230" s="48">
        <v>15395</v>
      </c>
      <c r="F230" s="48"/>
      <c r="G230" s="48"/>
      <c r="H230" s="48"/>
      <c r="I230" s="48"/>
      <c r="J230" s="48"/>
      <c r="K230" s="48"/>
      <c r="L230" s="48">
        <v>70</v>
      </c>
      <c r="M230" s="48"/>
      <c r="N230" s="48">
        <v>51680</v>
      </c>
      <c r="O230" s="48">
        <v>1805</v>
      </c>
      <c r="P230" s="48">
        <v>320</v>
      </c>
      <c r="Q230" s="48">
        <v>150</v>
      </c>
      <c r="R230" s="48">
        <v>1115</v>
      </c>
    </row>
    <row r="231" spans="1:18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</row>
    <row r="232" ht="24" customHeight="1" spans="1:19">
      <c r="A232" s="83" t="s">
        <v>137</v>
      </c>
      <c r="B232" s="84"/>
      <c r="C232" s="85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92"/>
      <c r="O232" s="86"/>
      <c r="P232" s="86"/>
      <c r="R232" s="87" t="s">
        <v>138</v>
      </c>
      <c r="S232" s="87" t="s">
        <v>139</v>
      </c>
    </row>
    <row r="233" ht="34" customHeight="1" spans="1:19">
      <c r="A233" s="87" t="s">
        <v>138</v>
      </c>
      <c r="B233" s="87" t="s">
        <v>139</v>
      </c>
      <c r="R233" s="88" t="s">
        <v>122</v>
      </c>
      <c r="S233" s="48">
        <v>51680</v>
      </c>
    </row>
    <row r="234" ht="75" spans="1:19">
      <c r="A234" s="88" t="s">
        <v>122</v>
      </c>
      <c r="B234" s="48">
        <v>65115</v>
      </c>
      <c r="R234" s="78" t="s">
        <v>113</v>
      </c>
      <c r="S234" s="48">
        <v>15395</v>
      </c>
    </row>
    <row r="235" ht="75" spans="1:19">
      <c r="A235" s="78" t="s">
        <v>111</v>
      </c>
      <c r="B235" s="48">
        <v>11520</v>
      </c>
      <c r="R235" s="78" t="s">
        <v>111</v>
      </c>
      <c r="S235" s="48">
        <v>12960</v>
      </c>
    </row>
    <row r="236" ht="60" spans="1:19">
      <c r="A236" s="78" t="s">
        <v>110</v>
      </c>
      <c r="B236" s="48">
        <v>5515</v>
      </c>
      <c r="R236" s="78" t="s">
        <v>110</v>
      </c>
      <c r="S236" s="48">
        <v>5915</v>
      </c>
    </row>
    <row r="237" ht="60" spans="1:19">
      <c r="A237" s="88" t="s">
        <v>124</v>
      </c>
      <c r="B237" s="48">
        <v>3770</v>
      </c>
      <c r="R237" s="88" t="s">
        <v>123</v>
      </c>
      <c r="S237" s="48">
        <v>1805</v>
      </c>
    </row>
    <row r="238" ht="60" spans="1:19">
      <c r="A238" s="78" t="s">
        <v>113</v>
      </c>
      <c r="B238" s="48">
        <v>3040</v>
      </c>
      <c r="R238" s="88" t="s">
        <v>126</v>
      </c>
      <c r="S238" s="48">
        <v>1115</v>
      </c>
    </row>
    <row r="239" ht="45" spans="1:19">
      <c r="A239" s="88" t="s">
        <v>123</v>
      </c>
      <c r="B239" s="48">
        <v>2900</v>
      </c>
      <c r="R239" s="88" t="s">
        <v>124</v>
      </c>
      <c r="S239" s="48">
        <v>320</v>
      </c>
    </row>
    <row r="240" ht="60" spans="1:19">
      <c r="A240" s="78" t="s">
        <v>114</v>
      </c>
      <c r="B240" s="48">
        <v>2435</v>
      </c>
      <c r="R240" s="88" t="s">
        <v>125</v>
      </c>
      <c r="S240" s="48">
        <v>150</v>
      </c>
    </row>
    <row r="241" ht="90" spans="1:19">
      <c r="A241" s="78" t="s">
        <v>117</v>
      </c>
      <c r="B241" s="48">
        <v>2370</v>
      </c>
      <c r="R241" s="88" t="s">
        <v>120</v>
      </c>
      <c r="S241" s="48">
        <v>70</v>
      </c>
    </row>
    <row r="242" ht="30" spans="1:2">
      <c r="A242" s="88" t="s">
        <v>126</v>
      </c>
      <c r="B242" s="48">
        <v>2365</v>
      </c>
    </row>
    <row r="243" ht="60" spans="1:2">
      <c r="A243" s="78" t="s">
        <v>112</v>
      </c>
      <c r="B243" s="48">
        <v>1530</v>
      </c>
    </row>
    <row r="244" ht="45" spans="1:2">
      <c r="A244" s="88" t="s">
        <v>125</v>
      </c>
      <c r="B244" s="48">
        <v>1325</v>
      </c>
    </row>
    <row r="245" ht="90" spans="1:21">
      <c r="A245" s="78" t="s">
        <v>118</v>
      </c>
      <c r="B245" s="48">
        <v>1240</v>
      </c>
      <c r="D245" s="87" t="s">
        <v>138</v>
      </c>
      <c r="E245" s="88" t="s">
        <v>122</v>
      </c>
      <c r="F245" s="78" t="s">
        <v>111</v>
      </c>
      <c r="G245" s="78" t="s">
        <v>110</v>
      </c>
      <c r="H245" s="88" t="s">
        <v>124</v>
      </c>
      <c r="I245" s="78" t="s">
        <v>113</v>
      </c>
      <c r="J245" s="88" t="s">
        <v>123</v>
      </c>
      <c r="K245" s="78" t="s">
        <v>114</v>
      </c>
      <c r="L245" s="78" t="s">
        <v>117</v>
      </c>
      <c r="M245" s="88" t="s">
        <v>126</v>
      </c>
      <c r="N245" s="78" t="s">
        <v>112</v>
      </c>
      <c r="O245" s="88" t="s">
        <v>125</v>
      </c>
      <c r="P245" s="78" t="s">
        <v>118</v>
      </c>
      <c r="Q245" s="78" t="s">
        <v>115</v>
      </c>
      <c r="R245" s="78" t="s">
        <v>119</v>
      </c>
      <c r="S245" s="88" t="s">
        <v>120</v>
      </c>
      <c r="T245" s="78" t="s">
        <v>116</v>
      </c>
      <c r="U245" s="78" t="s">
        <v>121</v>
      </c>
    </row>
    <row r="246" ht="45" spans="1:21">
      <c r="A246" s="78" t="s">
        <v>115</v>
      </c>
      <c r="B246" s="48">
        <v>290</v>
      </c>
      <c r="D246" s="87" t="s">
        <v>139</v>
      </c>
      <c r="E246" s="48">
        <v>65115</v>
      </c>
      <c r="F246" s="48">
        <v>11520</v>
      </c>
      <c r="G246" s="48">
        <v>5515</v>
      </c>
      <c r="H246" s="48">
        <v>3770</v>
      </c>
      <c r="I246" s="48">
        <v>3040</v>
      </c>
      <c r="J246" s="48">
        <v>2900</v>
      </c>
      <c r="K246" s="48">
        <v>2435</v>
      </c>
      <c r="L246" s="48">
        <v>2370</v>
      </c>
      <c r="M246" s="48">
        <v>2365</v>
      </c>
      <c r="N246" s="48">
        <v>1530</v>
      </c>
      <c r="O246" s="48">
        <v>1325</v>
      </c>
      <c r="P246" s="48">
        <v>1240</v>
      </c>
      <c r="Q246" s="48">
        <v>290</v>
      </c>
      <c r="R246" s="48">
        <v>135</v>
      </c>
      <c r="S246" s="48">
        <v>110</v>
      </c>
      <c r="T246" s="48">
        <v>10</v>
      </c>
      <c r="U246" s="48">
        <v>0</v>
      </c>
    </row>
    <row r="247" ht="60" spans="1:2">
      <c r="A247" s="78" t="s">
        <v>119</v>
      </c>
      <c r="B247" s="48">
        <v>135</v>
      </c>
    </row>
    <row r="248" ht="60" spans="1:2">
      <c r="A248" s="88" t="s">
        <v>120</v>
      </c>
      <c r="B248" s="48">
        <v>110</v>
      </c>
    </row>
    <row r="249" ht="60" spans="1:2">
      <c r="A249" s="78" t="s">
        <v>116</v>
      </c>
      <c r="B249" s="48">
        <v>10</v>
      </c>
    </row>
    <row r="250" ht="60" spans="1:2">
      <c r="A250" s="78" t="s">
        <v>121</v>
      </c>
      <c r="B250" s="48">
        <v>0</v>
      </c>
    </row>
    <row r="254" ht="26" customHeight="1" spans="1:2">
      <c r="A254" s="2" t="s">
        <v>140</v>
      </c>
      <c r="B254" s="2"/>
    </row>
    <row r="255" ht="90" spans="1:18">
      <c r="A255" s="88" t="s">
        <v>122</v>
      </c>
      <c r="B255" s="89">
        <v>25790</v>
      </c>
      <c r="D255" s="88" t="s">
        <v>122</v>
      </c>
      <c r="E255" s="88" t="s">
        <v>111</v>
      </c>
      <c r="F255" s="78" t="s">
        <v>110</v>
      </c>
      <c r="G255" s="88" t="s">
        <v>113</v>
      </c>
      <c r="H255" s="88" t="s">
        <v>123</v>
      </c>
      <c r="I255" s="88" t="s">
        <v>126</v>
      </c>
      <c r="J255" s="78" t="s">
        <v>114</v>
      </c>
      <c r="K255" s="78" t="s">
        <v>117</v>
      </c>
      <c r="L255" s="78" t="s">
        <v>118</v>
      </c>
      <c r="M255" s="78" t="s">
        <v>112</v>
      </c>
      <c r="N255" s="78" t="s">
        <v>116</v>
      </c>
      <c r="O255" s="88" t="s">
        <v>124</v>
      </c>
      <c r="P255" s="88" t="s">
        <v>120</v>
      </c>
      <c r="Q255" s="78" t="s">
        <v>119</v>
      </c>
      <c r="R255" s="88" t="s">
        <v>125</v>
      </c>
    </row>
    <row r="256" ht="60" spans="1:18">
      <c r="A256" s="88" t="s">
        <v>111</v>
      </c>
      <c r="B256" s="48">
        <v>11760</v>
      </c>
      <c r="D256" s="89">
        <v>25790</v>
      </c>
      <c r="E256" s="48">
        <v>11760</v>
      </c>
      <c r="F256" s="48">
        <v>6270</v>
      </c>
      <c r="G256" s="48">
        <v>2665</v>
      </c>
      <c r="H256" s="48">
        <v>2375</v>
      </c>
      <c r="I256" s="48">
        <v>2095</v>
      </c>
      <c r="J256" s="48">
        <v>1825</v>
      </c>
      <c r="K256" s="48">
        <v>1810</v>
      </c>
      <c r="L256" s="48">
        <v>1010</v>
      </c>
      <c r="M256" s="48">
        <v>835</v>
      </c>
      <c r="N256" s="48">
        <v>595</v>
      </c>
      <c r="O256" s="48">
        <v>210</v>
      </c>
      <c r="P256" s="48">
        <v>160</v>
      </c>
      <c r="Q256" s="48">
        <v>105</v>
      </c>
      <c r="R256" s="48">
        <v>60</v>
      </c>
    </row>
    <row r="257" ht="45" spans="1:2">
      <c r="A257" s="78" t="s">
        <v>110</v>
      </c>
      <c r="B257" s="48">
        <v>6270</v>
      </c>
    </row>
    <row r="258" ht="60" spans="1:2">
      <c r="A258" s="88" t="s">
        <v>113</v>
      </c>
      <c r="B258" s="48">
        <v>2665</v>
      </c>
    </row>
    <row r="259" ht="30" spans="1:2">
      <c r="A259" s="88" t="s">
        <v>123</v>
      </c>
      <c r="B259" s="48">
        <v>2375</v>
      </c>
    </row>
    <row r="260" ht="30" spans="1:2">
      <c r="A260" s="88" t="s">
        <v>126</v>
      </c>
      <c r="B260" s="48">
        <v>2095</v>
      </c>
    </row>
    <row r="261" ht="60" spans="1:2">
      <c r="A261" s="78" t="s">
        <v>114</v>
      </c>
      <c r="B261" s="48">
        <v>1825</v>
      </c>
    </row>
    <row r="262" ht="90" spans="1:2">
      <c r="A262" s="78" t="s">
        <v>117</v>
      </c>
      <c r="B262" s="48">
        <v>1810</v>
      </c>
    </row>
    <row r="263" ht="45" spans="1:2">
      <c r="A263" s="78" t="s">
        <v>118</v>
      </c>
      <c r="B263" s="48">
        <v>1010</v>
      </c>
    </row>
    <row r="264" ht="60" spans="1:2">
      <c r="A264" s="78" t="s">
        <v>112</v>
      </c>
      <c r="B264" s="48">
        <v>835</v>
      </c>
    </row>
    <row r="265" ht="60" spans="1:2">
      <c r="A265" s="78" t="s">
        <v>116</v>
      </c>
      <c r="B265" s="48">
        <v>595</v>
      </c>
    </row>
    <row r="266" ht="45" spans="1:2">
      <c r="A266" s="88" t="s">
        <v>124</v>
      </c>
      <c r="B266" s="48">
        <v>210</v>
      </c>
    </row>
    <row r="267" ht="60" spans="1:2">
      <c r="A267" s="88" t="s">
        <v>120</v>
      </c>
      <c r="B267" s="48">
        <v>160</v>
      </c>
    </row>
    <row r="268" ht="60" spans="1:2">
      <c r="A268" s="78" t="s">
        <v>119</v>
      </c>
      <c r="B268" s="48">
        <v>105</v>
      </c>
    </row>
    <row r="269" ht="45" spans="1:2">
      <c r="A269" s="88" t="s">
        <v>125</v>
      </c>
      <c r="B269" s="48">
        <v>60</v>
      </c>
    </row>
    <row r="270" ht="45" spans="1:2">
      <c r="A270" s="78" t="s">
        <v>115</v>
      </c>
      <c r="B270" s="48">
        <v>10</v>
      </c>
    </row>
    <row r="271" ht="60" spans="1:2">
      <c r="A271" s="78" t="s">
        <v>121</v>
      </c>
      <c r="B271" s="48"/>
    </row>
    <row r="273" spans="1:3">
      <c r="A273" t="s">
        <v>141</v>
      </c>
      <c r="C273" t="s">
        <v>142</v>
      </c>
    </row>
    <row r="274" spans="1:4">
      <c r="A274" t="s">
        <v>138</v>
      </c>
      <c r="C274" t="s">
        <v>64</v>
      </c>
      <c r="D274" t="s">
        <v>110</v>
      </c>
    </row>
    <row r="275" spans="1:4">
      <c r="A275" t="s">
        <v>71</v>
      </c>
      <c r="B275">
        <v>950</v>
      </c>
      <c r="C275" t="s">
        <v>78</v>
      </c>
      <c r="D275">
        <v>1580</v>
      </c>
    </row>
    <row r="276" spans="1:4">
      <c r="A276" t="s">
        <v>72</v>
      </c>
      <c r="B276">
        <v>830</v>
      </c>
      <c r="C276" t="s">
        <v>71</v>
      </c>
      <c r="D276">
        <v>815</v>
      </c>
    </row>
    <row r="277" spans="1:4">
      <c r="A277" t="s">
        <v>78</v>
      </c>
      <c r="B277">
        <v>685</v>
      </c>
      <c r="C277" t="s">
        <v>70</v>
      </c>
      <c r="D277">
        <v>675</v>
      </c>
    </row>
    <row r="278" spans="1:4">
      <c r="A278" t="s">
        <v>74</v>
      </c>
      <c r="B278">
        <v>595</v>
      </c>
      <c r="C278" t="s">
        <v>76</v>
      </c>
      <c r="D278">
        <v>620</v>
      </c>
    </row>
    <row r="279" spans="1:4">
      <c r="A279" t="s">
        <v>73</v>
      </c>
      <c r="B279">
        <v>580</v>
      </c>
      <c r="C279" t="s">
        <v>73</v>
      </c>
      <c r="D279">
        <v>590</v>
      </c>
    </row>
    <row r="280" spans="1:4">
      <c r="A280" t="s">
        <v>70</v>
      </c>
      <c r="B280">
        <v>540</v>
      </c>
      <c r="C280" t="s">
        <v>69</v>
      </c>
      <c r="D280">
        <v>460</v>
      </c>
    </row>
    <row r="281" spans="1:4">
      <c r="A281" t="s">
        <v>68</v>
      </c>
      <c r="B281">
        <v>450</v>
      </c>
      <c r="C281" t="s">
        <v>74</v>
      </c>
      <c r="D281">
        <v>445</v>
      </c>
    </row>
    <row r="282" spans="1:4">
      <c r="A282" t="s">
        <v>77</v>
      </c>
      <c r="B282">
        <v>320</v>
      </c>
      <c r="C282" t="s">
        <v>77</v>
      </c>
      <c r="D282">
        <v>430</v>
      </c>
    </row>
    <row r="283" spans="1:4">
      <c r="A283" t="s">
        <v>69</v>
      </c>
      <c r="B283">
        <v>215</v>
      </c>
      <c r="C283" t="s">
        <v>68</v>
      </c>
      <c r="D283">
        <v>410</v>
      </c>
    </row>
    <row r="284" spans="1:4">
      <c r="A284" t="s">
        <v>79</v>
      </c>
      <c r="B284">
        <v>165</v>
      </c>
      <c r="C284" t="s">
        <v>72</v>
      </c>
      <c r="D284">
        <v>120</v>
      </c>
    </row>
    <row r="285" spans="1:4">
      <c r="A285" t="s">
        <v>76</v>
      </c>
      <c r="B285">
        <v>115</v>
      </c>
      <c r="C285" t="s">
        <v>79</v>
      </c>
      <c r="D285">
        <v>120</v>
      </c>
    </row>
    <row r="286" spans="1:4">
      <c r="A286" t="s">
        <v>75</v>
      </c>
      <c r="B286">
        <v>70</v>
      </c>
      <c r="C286" t="s">
        <v>75</v>
      </c>
      <c r="D286">
        <v>5</v>
      </c>
    </row>
    <row r="287" spans="2:4">
      <c r="B287" s="93">
        <f>SUM(B275:B286)</f>
        <v>5515</v>
      </c>
      <c r="C287" t="s">
        <v>80</v>
      </c>
      <c r="D287">
        <v>6270</v>
      </c>
    </row>
    <row r="290" spans="1:4">
      <c r="A290" t="s">
        <v>141</v>
      </c>
      <c r="D290" t="s">
        <v>142</v>
      </c>
    </row>
    <row r="291" ht="60" spans="1:5">
      <c r="A291" s="78" t="s">
        <v>64</v>
      </c>
      <c r="B291" s="78" t="s">
        <v>110</v>
      </c>
      <c r="D291" s="78" t="s">
        <v>64</v>
      </c>
      <c r="E291" s="78" t="s">
        <v>110</v>
      </c>
    </row>
    <row r="292" spans="1:5">
      <c r="A292" s="94" t="s">
        <v>135</v>
      </c>
      <c r="B292" s="94">
        <v>1435</v>
      </c>
      <c r="D292" s="53" t="s">
        <v>135</v>
      </c>
      <c r="E292" s="82">
        <v>1875</v>
      </c>
    </row>
    <row r="293" spans="1:5">
      <c r="A293" s="95" t="s">
        <v>134</v>
      </c>
      <c r="B293" s="95">
        <v>1225</v>
      </c>
      <c r="D293" s="53" t="s">
        <v>134</v>
      </c>
      <c r="E293" s="82">
        <v>1550</v>
      </c>
    </row>
    <row r="294" spans="1:5">
      <c r="A294" s="95" t="s">
        <v>130</v>
      </c>
      <c r="B294" s="95">
        <v>955</v>
      </c>
      <c r="D294" s="53" t="s">
        <v>131</v>
      </c>
      <c r="E294" s="82">
        <v>1195</v>
      </c>
    </row>
    <row r="295" spans="1:5">
      <c r="A295" s="95" t="s">
        <v>133</v>
      </c>
      <c r="B295" s="95">
        <v>780</v>
      </c>
      <c r="D295" s="53" t="s">
        <v>129</v>
      </c>
      <c r="E295" s="82">
        <v>1075</v>
      </c>
    </row>
    <row r="296" spans="1:5">
      <c r="A296" s="95" t="s">
        <v>127</v>
      </c>
      <c r="B296" s="95">
        <v>645</v>
      </c>
      <c r="D296" s="53" t="s">
        <v>130</v>
      </c>
      <c r="E296" s="82">
        <v>905</v>
      </c>
    </row>
    <row r="297" spans="1:5">
      <c r="A297" s="95" t="s">
        <v>128</v>
      </c>
      <c r="B297" s="95">
        <v>515</v>
      </c>
      <c r="D297" s="53" t="s">
        <v>127</v>
      </c>
      <c r="E297" s="82">
        <v>645</v>
      </c>
    </row>
    <row r="298" spans="1:5">
      <c r="A298" s="95" t="s">
        <v>129</v>
      </c>
      <c r="B298" s="95">
        <v>135</v>
      </c>
      <c r="D298" s="53" t="s">
        <v>132</v>
      </c>
      <c r="E298" s="82">
        <v>425</v>
      </c>
    </row>
    <row r="299" spans="1:5">
      <c r="A299" s="95" t="s">
        <v>132</v>
      </c>
      <c r="B299" s="95">
        <v>135</v>
      </c>
      <c r="D299" s="53" t="s">
        <v>133</v>
      </c>
      <c r="E299" s="82">
        <v>230</v>
      </c>
    </row>
    <row r="300" spans="1:5">
      <c r="A300" s="95" t="s">
        <v>131</v>
      </c>
      <c r="B300" s="95">
        <v>90</v>
      </c>
      <c r="D300" s="53" t="s">
        <v>128</v>
      </c>
      <c r="E300" s="82">
        <v>145</v>
      </c>
    </row>
    <row r="301" spans="1:5">
      <c r="A301" s="96" t="s">
        <v>80</v>
      </c>
      <c r="B301" s="97">
        <v>5915</v>
      </c>
      <c r="D301" s="53" t="s">
        <v>80</v>
      </c>
      <c r="E301" s="48">
        <v>8045</v>
      </c>
    </row>
    <row r="302" spans="4:4">
      <c r="D302" s="49"/>
    </row>
    <row r="303" spans="3:4">
      <c r="C303" s="49"/>
      <c r="D303" s="49"/>
    </row>
    <row r="304" spans="3:4">
      <c r="C304" s="49"/>
      <c r="D304" s="49"/>
    </row>
    <row r="307" ht="90" spans="1:19">
      <c r="A307" s="98" t="s">
        <v>143</v>
      </c>
      <c r="B307" s="99" t="s">
        <v>64</v>
      </c>
      <c r="C307" s="78" t="s">
        <v>110</v>
      </c>
      <c r="D307" s="78" t="s">
        <v>111</v>
      </c>
      <c r="E307" s="78" t="s">
        <v>112</v>
      </c>
      <c r="F307" s="78" t="s">
        <v>113</v>
      </c>
      <c r="G307" s="78" t="s">
        <v>114</v>
      </c>
      <c r="H307" s="78" t="s">
        <v>115</v>
      </c>
      <c r="I307" s="78" t="s">
        <v>116</v>
      </c>
      <c r="J307" s="78" t="s">
        <v>117</v>
      </c>
      <c r="K307" s="78" t="s">
        <v>118</v>
      </c>
      <c r="L307" s="78" t="s">
        <v>119</v>
      </c>
      <c r="M307" s="88" t="s">
        <v>120</v>
      </c>
      <c r="N307" s="78" t="s">
        <v>121</v>
      </c>
      <c r="O307" s="88" t="s">
        <v>122</v>
      </c>
      <c r="P307" s="88" t="s">
        <v>123</v>
      </c>
      <c r="Q307" s="88" t="s">
        <v>124</v>
      </c>
      <c r="R307" s="88" t="s">
        <v>125</v>
      </c>
      <c r="S307" s="88" t="s">
        <v>126</v>
      </c>
    </row>
    <row r="308" spans="1:19">
      <c r="A308" s="98"/>
      <c r="B308" s="100" t="s">
        <v>144</v>
      </c>
      <c r="C308" s="101">
        <v>5915</v>
      </c>
      <c r="D308" s="101">
        <v>12960</v>
      </c>
      <c r="E308" s="101"/>
      <c r="F308" s="101">
        <v>15395</v>
      </c>
      <c r="G308" s="101"/>
      <c r="H308" s="101"/>
      <c r="I308" s="101"/>
      <c r="J308" s="101"/>
      <c r="K308" s="101"/>
      <c r="L308" s="101"/>
      <c r="M308" s="101">
        <v>70</v>
      </c>
      <c r="N308" s="101"/>
      <c r="O308" s="101">
        <v>51680</v>
      </c>
      <c r="P308" s="101">
        <v>1805</v>
      </c>
      <c r="Q308" s="101">
        <v>320</v>
      </c>
      <c r="R308" s="101">
        <v>150</v>
      </c>
      <c r="S308" s="101">
        <v>1115</v>
      </c>
    </row>
    <row r="309" spans="1:19">
      <c r="A309" s="98"/>
      <c r="B309" s="102" t="s">
        <v>61</v>
      </c>
      <c r="C309" s="73">
        <v>1460</v>
      </c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>
        <v>21375</v>
      </c>
      <c r="P309" s="73">
        <v>610</v>
      </c>
      <c r="Q309" s="73">
        <v>1440</v>
      </c>
      <c r="R309" s="73">
        <v>3360</v>
      </c>
      <c r="S309" s="73">
        <v>1070</v>
      </c>
    </row>
    <row r="310" spans="1:19">
      <c r="A310" s="98"/>
      <c r="B310" s="102" t="s">
        <v>62</v>
      </c>
      <c r="C310" s="73">
        <v>1425</v>
      </c>
      <c r="D310" s="73"/>
      <c r="E310" s="73"/>
      <c r="F310" s="73"/>
      <c r="G310" s="73"/>
      <c r="H310" s="73"/>
      <c r="I310" s="73"/>
      <c r="J310" s="73"/>
      <c r="K310" s="73"/>
      <c r="L310" s="73"/>
      <c r="M310" s="73">
        <v>60</v>
      </c>
      <c r="N310" s="73"/>
      <c r="O310" s="73">
        <v>9075</v>
      </c>
      <c r="P310" s="73">
        <v>425</v>
      </c>
      <c r="Q310" s="73">
        <v>300</v>
      </c>
      <c r="R310" s="73"/>
      <c r="S310" s="73">
        <v>180</v>
      </c>
    </row>
    <row r="311" spans="1:19">
      <c r="A311" s="98"/>
      <c r="B311" s="102" t="s">
        <v>59</v>
      </c>
      <c r="C311" s="73">
        <v>5515</v>
      </c>
      <c r="D311" s="73">
        <v>11520</v>
      </c>
      <c r="E311" s="73">
        <v>1530</v>
      </c>
      <c r="F311" s="73">
        <v>3040</v>
      </c>
      <c r="G311" s="73">
        <v>2435</v>
      </c>
      <c r="H311" s="73">
        <v>290</v>
      </c>
      <c r="I311" s="73">
        <v>10</v>
      </c>
      <c r="J311" s="73">
        <v>2370</v>
      </c>
      <c r="K311" s="73">
        <v>1240</v>
      </c>
      <c r="L311" s="73">
        <v>135</v>
      </c>
      <c r="M311" s="73">
        <v>110</v>
      </c>
      <c r="N311" s="73"/>
      <c r="O311" s="73">
        <v>65115</v>
      </c>
      <c r="P311" s="73">
        <v>2900</v>
      </c>
      <c r="Q311" s="73">
        <v>3770</v>
      </c>
      <c r="R311" s="73">
        <v>1325</v>
      </c>
      <c r="S311" s="73">
        <v>2365</v>
      </c>
    </row>
    <row r="312" spans="1:19">
      <c r="A312" s="98"/>
      <c r="B312" s="102" t="s">
        <v>60</v>
      </c>
      <c r="C312" s="73">
        <v>2890</v>
      </c>
      <c r="D312" s="73">
        <v>3840</v>
      </c>
      <c r="E312" s="73">
        <v>50</v>
      </c>
      <c r="F312" s="73">
        <v>1255</v>
      </c>
      <c r="G312" s="73">
        <v>25</v>
      </c>
      <c r="H312" s="73"/>
      <c r="I312" s="73">
        <v>180</v>
      </c>
      <c r="J312" s="73">
        <v>85</v>
      </c>
      <c r="K312" s="73"/>
      <c r="L312" s="73"/>
      <c r="M312" s="73"/>
      <c r="N312" s="73"/>
      <c r="O312" s="73">
        <v>55995</v>
      </c>
      <c r="P312" s="73">
        <v>785</v>
      </c>
      <c r="Q312" s="73">
        <v>480</v>
      </c>
      <c r="R312" s="73"/>
      <c r="S312" s="73">
        <v>300</v>
      </c>
    </row>
    <row r="313" spans="2:19">
      <c r="B313" s="73" t="s">
        <v>145</v>
      </c>
      <c r="C313" s="103">
        <f>SUM(C308:C312)</f>
        <v>17205</v>
      </c>
      <c r="D313" s="103">
        <f t="shared" ref="D313:S313" si="14">SUM(D308:D312)</f>
        <v>28320</v>
      </c>
      <c r="E313" s="103">
        <f t="shared" si="14"/>
        <v>1580</v>
      </c>
      <c r="F313" s="103">
        <f t="shared" si="14"/>
        <v>19690</v>
      </c>
      <c r="G313" s="103">
        <f t="shared" si="14"/>
        <v>2460</v>
      </c>
      <c r="H313" s="103">
        <f t="shared" si="14"/>
        <v>290</v>
      </c>
      <c r="I313" s="103">
        <f t="shared" si="14"/>
        <v>190</v>
      </c>
      <c r="J313" s="103">
        <f t="shared" si="14"/>
        <v>2455</v>
      </c>
      <c r="K313" s="103">
        <f t="shared" si="14"/>
        <v>1240</v>
      </c>
      <c r="L313" s="103">
        <f t="shared" si="14"/>
        <v>135</v>
      </c>
      <c r="M313" s="103">
        <f t="shared" si="14"/>
        <v>240</v>
      </c>
      <c r="N313" s="103">
        <f t="shared" si="14"/>
        <v>0</v>
      </c>
      <c r="O313" s="103">
        <f t="shared" si="14"/>
        <v>203240</v>
      </c>
      <c r="P313" s="103">
        <f t="shared" si="14"/>
        <v>6525</v>
      </c>
      <c r="Q313" s="103">
        <f t="shared" si="14"/>
        <v>6310</v>
      </c>
      <c r="R313" s="103">
        <f t="shared" si="14"/>
        <v>4835</v>
      </c>
      <c r="S313" s="103">
        <f t="shared" si="14"/>
        <v>5030</v>
      </c>
    </row>
    <row r="316" ht="90" spans="1:19">
      <c r="A316" s="98" t="s">
        <v>143</v>
      </c>
      <c r="B316" s="78" t="s">
        <v>64</v>
      </c>
      <c r="C316" s="78" t="s">
        <v>110</v>
      </c>
      <c r="D316" s="78" t="s">
        <v>112</v>
      </c>
      <c r="E316" s="78" t="s">
        <v>114</v>
      </c>
      <c r="F316" s="78" t="s">
        <v>115</v>
      </c>
      <c r="G316" s="78" t="s">
        <v>116</v>
      </c>
      <c r="H316" s="78" t="s">
        <v>117</v>
      </c>
      <c r="I316" s="78" t="s">
        <v>118</v>
      </c>
      <c r="J316" s="78" t="s">
        <v>119</v>
      </c>
      <c r="K316" s="88" t="s">
        <v>120</v>
      </c>
      <c r="L316" s="78" t="s">
        <v>121</v>
      </c>
      <c r="M316" s="88" t="s">
        <v>122</v>
      </c>
      <c r="N316" s="88" t="s">
        <v>123</v>
      </c>
      <c r="O316" s="88" t="s">
        <v>124</v>
      </c>
      <c r="P316" s="88" t="s">
        <v>125</v>
      </c>
      <c r="Q316" s="88" t="s">
        <v>113</v>
      </c>
      <c r="R316" s="88" t="s">
        <v>111</v>
      </c>
      <c r="S316" s="88" t="s">
        <v>126</v>
      </c>
    </row>
    <row r="317" spans="1:19">
      <c r="A317" s="98"/>
      <c r="B317" s="101" t="s">
        <v>61</v>
      </c>
      <c r="C317" s="101">
        <v>570</v>
      </c>
      <c r="D317" s="101"/>
      <c r="E317" s="101"/>
      <c r="F317" s="101"/>
      <c r="G317" s="101"/>
      <c r="H317" s="101"/>
      <c r="I317" s="101"/>
      <c r="J317" s="101"/>
      <c r="K317" s="101"/>
      <c r="L317" s="101"/>
      <c r="M317" s="101">
        <v>7190</v>
      </c>
      <c r="N317" s="101">
        <v>315</v>
      </c>
      <c r="O317" s="101">
        <v>4080</v>
      </c>
      <c r="P317" s="101">
        <v>4180</v>
      </c>
      <c r="Q317" s="101">
        <v>570</v>
      </c>
      <c r="R317" s="101"/>
      <c r="S317" s="101">
        <v>1420</v>
      </c>
    </row>
    <row r="318" spans="1:19">
      <c r="A318" s="98"/>
      <c r="B318" s="73" t="s">
        <v>62</v>
      </c>
      <c r="C318" s="73">
        <v>1640</v>
      </c>
      <c r="D318" s="73">
        <v>90</v>
      </c>
      <c r="E318" s="73"/>
      <c r="F318" s="73"/>
      <c r="G318" s="73"/>
      <c r="H318" s="73"/>
      <c r="I318" s="73"/>
      <c r="J318" s="73"/>
      <c r="K318" s="73">
        <v>60</v>
      </c>
      <c r="L318" s="73"/>
      <c r="M318" s="73">
        <v>7555</v>
      </c>
      <c r="N318" s="73">
        <v>340</v>
      </c>
      <c r="O318" s="73"/>
      <c r="P318" s="73"/>
      <c r="Q318" s="73"/>
      <c r="R318" s="73"/>
      <c r="S318" s="73">
        <v>720</v>
      </c>
    </row>
    <row r="319" spans="1:19">
      <c r="A319" s="98"/>
      <c r="B319" s="73" t="s">
        <v>60</v>
      </c>
      <c r="C319" s="73">
        <v>1830</v>
      </c>
      <c r="D319" s="73">
        <v>120</v>
      </c>
      <c r="E319" s="73">
        <v>290</v>
      </c>
      <c r="F319" s="73">
        <v>20</v>
      </c>
      <c r="G319" s="73"/>
      <c r="H319" s="73"/>
      <c r="I319" s="73"/>
      <c r="J319" s="73">
        <v>10</v>
      </c>
      <c r="K319" s="73"/>
      <c r="L319" s="73"/>
      <c r="M319" s="73">
        <v>39110</v>
      </c>
      <c r="N319" s="73">
        <v>585</v>
      </c>
      <c r="O319" s="73">
        <v>30</v>
      </c>
      <c r="P319" s="73"/>
      <c r="Q319" s="73">
        <v>1025</v>
      </c>
      <c r="R319" s="73">
        <v>480</v>
      </c>
      <c r="S319" s="73">
        <v>280</v>
      </c>
    </row>
    <row r="320" spans="1:19">
      <c r="A320" s="98"/>
      <c r="B320" s="73" t="s">
        <v>59</v>
      </c>
      <c r="C320" s="73">
        <v>6270</v>
      </c>
      <c r="D320" s="73">
        <v>950</v>
      </c>
      <c r="E320" s="73">
        <v>2455</v>
      </c>
      <c r="F320" s="73">
        <v>10</v>
      </c>
      <c r="G320" s="73">
        <v>595</v>
      </c>
      <c r="H320" s="73">
        <v>2260</v>
      </c>
      <c r="I320" s="73">
        <v>1185</v>
      </c>
      <c r="J320" s="73">
        <v>105</v>
      </c>
      <c r="K320" s="73">
        <v>160</v>
      </c>
      <c r="L320" s="73"/>
      <c r="M320" s="73">
        <v>43405</v>
      </c>
      <c r="N320" s="73">
        <v>2985</v>
      </c>
      <c r="O320" s="73">
        <v>210</v>
      </c>
      <c r="P320" s="73">
        <v>1235</v>
      </c>
      <c r="Q320" s="73">
        <v>3285</v>
      </c>
      <c r="R320" s="73">
        <v>13200</v>
      </c>
      <c r="S320" s="73">
        <v>2245</v>
      </c>
    </row>
    <row r="321" spans="1:19">
      <c r="A321" s="98"/>
      <c r="B321" s="73" t="s">
        <v>146</v>
      </c>
      <c r="C321" s="73">
        <v>8045</v>
      </c>
      <c r="D321" s="73"/>
      <c r="E321" s="73"/>
      <c r="F321" s="73"/>
      <c r="G321" s="73"/>
      <c r="H321" s="73"/>
      <c r="I321" s="73"/>
      <c r="J321" s="73"/>
      <c r="K321" s="73"/>
      <c r="L321" s="73"/>
      <c r="M321" s="73">
        <v>49275</v>
      </c>
      <c r="N321" s="73">
        <v>1470</v>
      </c>
      <c r="O321" s="73">
        <v>675</v>
      </c>
      <c r="P321" s="73">
        <v>140</v>
      </c>
      <c r="Q321" s="73">
        <v>7135</v>
      </c>
      <c r="R321" s="73">
        <v>1440</v>
      </c>
      <c r="S321" s="73">
        <v>2535</v>
      </c>
    </row>
    <row r="322" spans="2:19">
      <c r="B322" s="73" t="s">
        <v>145</v>
      </c>
      <c r="C322" s="103">
        <f t="shared" ref="C322:S322" si="15">SUM(C317:C321)</f>
        <v>18355</v>
      </c>
      <c r="D322" s="103">
        <f t="shared" si="15"/>
        <v>1160</v>
      </c>
      <c r="E322" s="103">
        <f t="shared" si="15"/>
        <v>2745</v>
      </c>
      <c r="F322" s="103">
        <f t="shared" si="15"/>
        <v>30</v>
      </c>
      <c r="G322" s="103">
        <f t="shared" si="15"/>
        <v>595</v>
      </c>
      <c r="H322" s="103">
        <f t="shared" si="15"/>
        <v>2260</v>
      </c>
      <c r="I322" s="103">
        <f t="shared" si="15"/>
        <v>1185</v>
      </c>
      <c r="J322" s="103">
        <f t="shared" si="15"/>
        <v>115</v>
      </c>
      <c r="K322" s="103">
        <f t="shared" si="15"/>
        <v>220</v>
      </c>
      <c r="L322" s="103">
        <f t="shared" si="15"/>
        <v>0</v>
      </c>
      <c r="M322" s="103">
        <f t="shared" si="15"/>
        <v>146535</v>
      </c>
      <c r="N322" s="103">
        <f t="shared" si="15"/>
        <v>5695</v>
      </c>
      <c r="O322" s="103">
        <f t="shared" si="15"/>
        <v>4995</v>
      </c>
      <c r="P322" s="103">
        <f t="shared" si="15"/>
        <v>5555</v>
      </c>
      <c r="Q322" s="103">
        <f t="shared" si="15"/>
        <v>12015</v>
      </c>
      <c r="R322" s="103">
        <f t="shared" si="15"/>
        <v>15120</v>
      </c>
      <c r="S322" s="103">
        <f t="shared" si="15"/>
        <v>7200</v>
      </c>
    </row>
    <row r="330" spans="1:9">
      <c r="A330" s="96" t="s">
        <v>147</v>
      </c>
      <c r="B330" s="96"/>
      <c r="C330" s="96"/>
      <c r="D330" s="96"/>
      <c r="E330" s="96"/>
      <c r="F330" s="96"/>
      <c r="G330" s="96"/>
      <c r="H330" s="96"/>
      <c r="I330" s="96"/>
    </row>
    <row r="332" ht="60" spans="1:9">
      <c r="A332" s="59" t="s">
        <v>148</v>
      </c>
      <c r="B332" s="104" t="s">
        <v>149</v>
      </c>
      <c r="C332" s="104" t="s">
        <v>150</v>
      </c>
      <c r="D332" s="104" t="s">
        <v>151</v>
      </c>
      <c r="E332" s="105" t="s">
        <v>152</v>
      </c>
      <c r="F332" s="105" t="s">
        <v>153</v>
      </c>
      <c r="G332" s="59" t="s">
        <v>154</v>
      </c>
      <c r="H332" s="59" t="s">
        <v>155</v>
      </c>
      <c r="I332" s="59" t="s">
        <v>156</v>
      </c>
    </row>
    <row r="333" spans="1:9">
      <c r="A333" s="59">
        <v>260038</v>
      </c>
      <c r="B333" s="106">
        <v>253958</v>
      </c>
      <c r="C333" s="106">
        <v>7095</v>
      </c>
      <c r="D333" s="106">
        <v>4635</v>
      </c>
      <c r="E333" s="59">
        <v>1445</v>
      </c>
      <c r="F333" s="107">
        <v>0.6337</v>
      </c>
      <c r="G333" s="107">
        <v>0.83248</v>
      </c>
      <c r="H333" s="107">
        <v>0.9309</v>
      </c>
      <c r="I333" s="60">
        <v>77.497425</v>
      </c>
    </row>
    <row r="334" spans="1:9">
      <c r="A334" s="59"/>
      <c r="B334" s="59"/>
      <c r="C334" s="107">
        <v>0.0273</v>
      </c>
      <c r="D334" s="107">
        <v>0.0178</v>
      </c>
      <c r="E334" s="107">
        <v>0.0056</v>
      </c>
      <c r="F334" s="59"/>
      <c r="G334" s="59"/>
      <c r="H334" s="59"/>
      <c r="I334" s="59"/>
    </row>
    <row r="338" spans="1:9">
      <c r="A338" s="96" t="s">
        <v>157</v>
      </c>
      <c r="B338" s="96"/>
      <c r="C338" s="96"/>
      <c r="D338" s="96"/>
      <c r="E338" s="96"/>
      <c r="F338" s="96"/>
      <c r="G338" s="96"/>
      <c r="H338" s="96"/>
      <c r="I338" s="96"/>
    </row>
    <row r="340" ht="60" spans="1:9">
      <c r="A340" s="108" t="s">
        <v>148</v>
      </c>
      <c r="B340" s="109" t="s">
        <v>149</v>
      </c>
      <c r="C340" s="109" t="s">
        <v>150</v>
      </c>
      <c r="D340" s="109" t="s">
        <v>151</v>
      </c>
      <c r="E340" s="110" t="s">
        <v>152</v>
      </c>
      <c r="F340" s="110" t="s">
        <v>153</v>
      </c>
      <c r="G340" s="108" t="s">
        <v>154</v>
      </c>
      <c r="H340" s="108" t="s">
        <v>155</v>
      </c>
      <c r="I340" s="108" t="s">
        <v>156</v>
      </c>
    </row>
    <row r="341" spans="1:9">
      <c r="A341" s="111">
        <v>194407</v>
      </c>
      <c r="B341" s="112">
        <v>189088</v>
      </c>
      <c r="C341" s="112">
        <v>6494</v>
      </c>
      <c r="D341" s="112">
        <v>4543</v>
      </c>
      <c r="E341" s="113">
        <v>776</v>
      </c>
      <c r="F341" s="114">
        <v>0.6171</v>
      </c>
      <c r="G341" s="114">
        <v>0.7923</v>
      </c>
      <c r="H341" s="114">
        <v>0.9198</v>
      </c>
      <c r="I341" s="115">
        <v>72.93</v>
      </c>
    </row>
    <row r="342" spans="1:9">
      <c r="A342" s="111"/>
      <c r="B342" s="111"/>
      <c r="C342" s="114">
        <v>0.0334</v>
      </c>
      <c r="D342" s="114">
        <v>0.0233</v>
      </c>
      <c r="E342" s="114">
        <v>0.004</v>
      </c>
      <c r="F342" s="111"/>
      <c r="G342" s="111"/>
      <c r="H342" s="111"/>
      <c r="I342" s="111"/>
    </row>
    <row r="345" ht="60" spans="1:13">
      <c r="A345" s="108" t="s">
        <v>1</v>
      </c>
      <c r="B345" s="109" t="s">
        <v>148</v>
      </c>
      <c r="C345" s="109" t="s">
        <v>149</v>
      </c>
      <c r="D345" s="109" t="s">
        <v>150</v>
      </c>
      <c r="E345" s="110" t="s">
        <v>158</v>
      </c>
      <c r="F345" s="110" t="s">
        <v>151</v>
      </c>
      <c r="G345" s="108" t="s">
        <v>159</v>
      </c>
      <c r="H345" s="108" t="s">
        <v>152</v>
      </c>
      <c r="I345" s="108" t="s">
        <v>152</v>
      </c>
      <c r="J345" s="110" t="s">
        <v>153</v>
      </c>
      <c r="K345" s="108" t="s">
        <v>154</v>
      </c>
      <c r="L345" s="108" t="s">
        <v>155</v>
      </c>
      <c r="M345" s="108" t="s">
        <v>156</v>
      </c>
    </row>
    <row r="346" spans="1:13">
      <c r="A346" s="95" t="s">
        <v>15</v>
      </c>
      <c r="B346" s="113">
        <v>194407</v>
      </c>
      <c r="C346" s="112">
        <v>189088</v>
      </c>
      <c r="D346" s="112">
        <v>6494</v>
      </c>
      <c r="E346" s="114">
        <v>0.0334</v>
      </c>
      <c r="F346" s="112">
        <v>4543</v>
      </c>
      <c r="G346" s="114">
        <v>0.0233</v>
      </c>
      <c r="H346" s="113">
        <v>776</v>
      </c>
      <c r="I346" s="114">
        <v>0.004</v>
      </c>
      <c r="J346" s="114">
        <v>0.6171</v>
      </c>
      <c r="K346" s="114">
        <v>0.7923</v>
      </c>
      <c r="L346" s="114">
        <v>0.9198</v>
      </c>
      <c r="M346" s="115">
        <v>72.93</v>
      </c>
    </row>
    <row r="347" spans="1:13">
      <c r="A347" s="95" t="s">
        <v>16</v>
      </c>
      <c r="B347" s="59">
        <v>260038</v>
      </c>
      <c r="C347" s="106">
        <v>253958</v>
      </c>
      <c r="D347" s="106">
        <v>7095</v>
      </c>
      <c r="E347" s="107">
        <v>0.0273</v>
      </c>
      <c r="F347" s="106">
        <v>4635</v>
      </c>
      <c r="G347" s="107">
        <v>0.0178</v>
      </c>
      <c r="H347" s="59">
        <v>1445</v>
      </c>
      <c r="I347" s="107">
        <v>0.0056</v>
      </c>
      <c r="J347" s="107">
        <v>0.6337</v>
      </c>
      <c r="K347" s="107">
        <v>0.83248</v>
      </c>
      <c r="L347" s="107">
        <v>0.9309</v>
      </c>
      <c r="M347" s="60">
        <v>77.497425</v>
      </c>
    </row>
  </sheetData>
  <mergeCells count="32">
    <mergeCell ref="A1:E1"/>
    <mergeCell ref="A44:E44"/>
    <mergeCell ref="A61:D61"/>
    <mergeCell ref="A75:D75"/>
    <mergeCell ref="A91:D91"/>
    <mergeCell ref="A107:D107"/>
    <mergeCell ref="A120:D120"/>
    <mergeCell ref="A128:D128"/>
    <mergeCell ref="A138:H138"/>
    <mergeCell ref="A153:H153"/>
    <mergeCell ref="A168:H168"/>
    <mergeCell ref="A183:H183"/>
    <mergeCell ref="A201:O201"/>
    <mergeCell ref="A218:O218"/>
    <mergeCell ref="A232:C232"/>
    <mergeCell ref="A254:B254"/>
    <mergeCell ref="A330:I330"/>
    <mergeCell ref="A338:I33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307:A312"/>
    <mergeCell ref="A316:A321"/>
  </mergeCells>
  <conditionalFormatting sqref="A128">
    <cfRule type="duplicateValues" dxfId="0" priority="3"/>
  </conditionalFormatting>
  <conditionalFormatting sqref="A113:A119">
    <cfRule type="duplicateValues" dxfId="1" priority="1"/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01</dc:creator>
  <cp:lastModifiedBy>PE05</cp:lastModifiedBy>
  <dcterms:created xsi:type="dcterms:W3CDTF">2026-02-28T05:47:00Z</dcterms:created>
  <dcterms:modified xsi:type="dcterms:W3CDTF">2026-03-13T08:45:35Z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2A63C8AC5F5D46689B3BF7B96C00D873_11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